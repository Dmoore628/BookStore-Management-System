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duction" sheetId="1" r:id="rId5"/>
    <sheet state="visible" name="Product backlog" sheetId="2" r:id="rId6"/>
    <sheet state="visible" name="Sprint 1" sheetId="3" r:id="rId7"/>
    <sheet state="visible" name="Sprint 2" sheetId="4" r:id="rId8"/>
  </sheets>
  <definedNames>
    <definedName hidden="1" localSheetId="2" name="_xlnm._FilterDatabase">'Sprint 1'!$A$10:$E$10</definedName>
    <definedName hidden="1" localSheetId="3" name="_xlnm._FilterDatabase">'Sprint 2'!$A$10:$E$10</definedName>
    <definedName hidden="1" localSheetId="1" name="Z_5F1551B2_EEF3_45DA_A017_BE16EE9F8BFE_.wvu.FilterData">'Product backlog'!$B$1:$F$1</definedName>
    <definedName hidden="1" localSheetId="1" name="Z_2A420747_F08F_46F4_A71A_FA0890B7BFAA_.wvu.FilterData">'Product backlog'!$A$10:$G$20</definedName>
    <definedName hidden="1" localSheetId="1" name="Z_535C65D1_CE59_4AA2_8C12_BEE4447C096F_.wvu.FilterData">'Product backlog'!$B$1:$F$1</definedName>
    <definedName hidden="1" localSheetId="1" name="Z_261B74FD_1197_4846_9390_4440FE21FCAE_.wvu.FilterData">'Product backlog'!$B$1:$F$1</definedName>
  </definedNames>
  <calcPr/>
  <customWorkbookViews>
    <customWorkbookView activeSheetId="0" maximized="1" windowHeight="0" windowWidth="0" guid="{5F1551B2-EEF3-45DA-A017-BE16EE9F8BFE}" name="Sam Burke - Personal View"/>
    <customWorkbookView activeSheetId="0" maximized="1" windowHeight="0" windowWidth="0" guid="{2A420747-F08F-46F4-A71A-FA0890B7BFAA}" name="Table1 filter view"/>
    <customWorkbookView activeSheetId="0" maximized="1" windowHeight="0" windowWidth="0" guid="{535C65D1-CE59-4AA2-8C12-BEE4447C096F}" name="Anders Pedersen - Personal View"/>
    <customWorkbookView activeSheetId="0" maximized="1" windowHeight="0" windowWidth="0" guid="{261B74FD-1197-4846-9390-4440FE21FCAE}" name="De La Cruz, Anthony - Personal View"/>
  </customWorkbookViews>
</workbook>
</file>

<file path=xl/sharedStrings.xml><?xml version="1.0" encoding="utf-8"?>
<sst xmlns="http://schemas.openxmlformats.org/spreadsheetml/2006/main" count="184" uniqueCount="116">
  <si>
    <t>Project Name</t>
  </si>
  <si>
    <t>Organizations</t>
  </si>
  <si>
    <t>Colorado Technical University, CS491</t>
  </si>
  <si>
    <t>What is this?</t>
  </si>
  <si>
    <t>This workbook is meant to help manage and piroritize the user stories and features using scrum.</t>
  </si>
  <si>
    <t>Project</t>
  </si>
  <si>
    <t>Bookstore Management System</t>
  </si>
  <si>
    <t>Product Owner</t>
  </si>
  <si>
    <t>Damian Jay Moore</t>
  </si>
  <si>
    <t>Scrum Master</t>
  </si>
  <si>
    <t>Development Team</t>
  </si>
  <si>
    <t>How to use and read this document?</t>
  </si>
  <si>
    <r>
      <rPr>
        <rFont val="Calibri"/>
        <b/>
        <color theme="1"/>
        <sz val="10.0"/>
      </rPr>
      <t>Before project start:</t>
    </r>
    <r>
      <rPr>
        <rFont val="Calibri"/>
        <b val="0"/>
        <color theme="1"/>
        <sz val="10.0"/>
      </rPr>
      <t xml:space="preserve"> The product owner is responsible for managing and maintaining the product backlog of user stories. </t>
    </r>
  </si>
  <si>
    <t xml:space="preserve"> Story ID</t>
  </si>
  <si>
    <r>
      <rPr>
        <rFont val="Calibri"/>
        <b/>
        <color theme="1"/>
        <sz val="10.0"/>
      </rPr>
      <t>Before each sprint:</t>
    </r>
    <r>
      <rPr>
        <rFont val="Calibri"/>
        <b val="0"/>
        <color theme="1"/>
        <sz val="10.0"/>
      </rPr>
      <t xml:space="preserve"> The vendor will break down the user stories into tasks.</t>
    </r>
  </si>
  <si>
    <t>Title</t>
  </si>
  <si>
    <t>Description</t>
  </si>
  <si>
    <t>Acceptance Criteria</t>
  </si>
  <si>
    <t>Priority #</t>
  </si>
  <si>
    <t>Sprint #</t>
  </si>
  <si>
    <t>Responsibility</t>
  </si>
  <si>
    <t>BMS-1</t>
  </si>
  <si>
    <t>Notes</t>
  </si>
  <si>
    <t>Cells that you can edit have a blue background.</t>
  </si>
  <si>
    <t>Manage Book Inventory Records</t>
  </si>
  <si>
    <t>As a store employee, I want to store each book's title, author, ISBN/UUID, price, quantity, and shelf location, so that I can replace the paper stock cards.</t>
  </si>
  <si>
    <t>All six fields listed in the source text can be entered and viewed. Records can be edited and deleted.</t>
  </si>
  <si>
    <t>Sprints are assumed to be 2 weeks long (10 working days)/</t>
  </si>
  <si>
    <t>Licence</t>
  </si>
  <si>
    <t>This work is licensed under a Creative Commons Attribution-Share Alike 3.0 Unported License.</t>
  </si>
  <si>
    <t>BMS-2</t>
  </si>
  <si>
    <t>Automatic Stock Quantity Updates</t>
  </si>
  <si>
    <t>As a store employee, I want book quantities to update automatically when books are sold or received, so that inventory counts stay accurate without manual recalculation.</t>
  </si>
  <si>
    <t>Quantity decreases on sale. Quantity increases on receiving stock. No manual quantity entry required.</t>
  </si>
  <si>
    <t>BMS-3</t>
  </si>
  <si>
    <t>Checkout Calculation (Totals, Tax, Change)</t>
  </si>
  <si>
    <t>Start date</t>
  </si>
  <si>
    <t>As a cashier, I want the system to calculate the subtotal, tax, and change owed, so that I can complete a customer transaction accurately.</t>
  </si>
  <si>
    <t>Subtotal, tax, and total are calculated correctly. Change due is calculated for cash payments. Ties directly to Definition of Done requirement: "accurate tax and total calculations."</t>
  </si>
  <si>
    <t>Total Team Members</t>
  </si>
  <si>
    <t>Origins</t>
  </si>
  <si>
    <t>week 1</t>
  </si>
  <si>
    <t>This work is inspired by the Scrum Template published by Nicolas Martignole on his "Touilleur Express" blog. Adapted by Olivier Gérardin.</t>
  </si>
  <si>
    <t>BMS-4</t>
  </si>
  <si>
    <t>week 2</t>
  </si>
  <si>
    <t>Daily Cash/Card Sales Log</t>
  </si>
  <si>
    <t>As a store owner, I want a log of all daily cash and card sales, so that I can review revenue.</t>
  </si>
  <si>
    <t>Every sale records date, time, amount, and payment method. A daily total can be viewed.</t>
  </si>
  <si>
    <t>Task ID</t>
  </si>
  <si>
    <t>Story ID</t>
  </si>
  <si>
    <t>Initial estimate</t>
  </si>
  <si>
    <t>BMS-5</t>
  </si>
  <si>
    <t>Supplier Order Tracking</t>
  </si>
  <si>
    <t>As a store owner, I want to track incoming book orders from suppliers, so that I know what stock is on the way.</t>
  </si>
  <si>
    <t>An order can be logged with supplier, books ordered, and status. Status can be updated to received.</t>
  </si>
  <si>
    <t>BMS-6</t>
  </si>
  <si>
    <t>Customer Special Order Requests</t>
  </si>
  <si>
    <t>As a cashier, I want to log a customer's request for an out-of-stock book, so that we can order it and notify them.</t>
  </si>
  <si>
    <t>Request logs customer name, contact info, and book requested. Status can be updated (ordered/fulfilled).</t>
  </si>
  <si>
    <t>T1</t>
  </si>
  <si>
    <t>Design sales transaction record schema</t>
  </si>
  <si>
    <t>BMS-7</t>
  </si>
  <si>
    <t>Design database schema for book records (title, author, ISBN, price, quantity, shelf location)</t>
  </si>
  <si>
    <t>User Login and Access Control</t>
  </si>
  <si>
    <t>As a store owner, I want each staff member to have their own login, so that only authorized people can use the system.</t>
  </si>
  <si>
    <t>Each user has a unique login. Unauthenticated users cannot access the system.</t>
  </si>
  <si>
    <t>T2</t>
  </si>
  <si>
    <t>Build daily sales log view</t>
  </si>
  <si>
    <t>BMS-8</t>
  </si>
  <si>
    <t>Protect Sales and Customer Data</t>
  </si>
  <si>
    <t>Build form to add/edit book records</t>
  </si>
  <si>
    <t>As a store owner, I want sales records and customer information protected, so that sensitive data isn't exposed.</t>
  </si>
  <si>
    <t>T3</t>
  </si>
  <si>
    <t>Sales and customer data are not stored in plain readable text where avoidable. Only authorized staff can view records.</t>
  </si>
  <si>
    <t>Build daily sales total calculation</t>
  </si>
  <si>
    <t>Build search/view function for book records</t>
  </si>
  <si>
    <t>T4</t>
  </si>
  <si>
    <t>Design supplier order schema</t>
  </si>
  <si>
    <t>T5</t>
  </si>
  <si>
    <t>Build create/view function for supplier orders</t>
  </si>
  <si>
    <t>Build login screen and session handling — restricts access to protect financial and customer data</t>
  </si>
  <si>
    <t>T6</t>
  </si>
  <si>
    <t>Build order status update (pending/received)</t>
  </si>
  <si>
    <t>T7</t>
  </si>
  <si>
    <t>Implement protection for stored sales/customer data — addresses data privacy and breach-prevention obligations</t>
  </si>
  <si>
    <t>Design user accounts table and authentication logic</t>
  </si>
  <si>
    <t>T8</t>
  </si>
  <si>
    <t>Restrict sales/customer data views to authorized roles</t>
  </si>
  <si>
    <t>Restrict system access to authenticated users only</t>
  </si>
  <si>
    <t>T9</t>
  </si>
  <si>
    <t>Set up data backup process — supports data retention and recovery obligations</t>
  </si>
  <si>
    <t>Build subtotal calculation logic</t>
  </si>
  <si>
    <t>T10</t>
  </si>
  <si>
    <t>Build customer request logging form — collects only necessary personal data (name, contact info)</t>
  </si>
  <si>
    <t>T11</t>
  </si>
  <si>
    <t>Build request status update (ordered/fulfilled)</t>
  </si>
  <si>
    <t>Build tax calculation logic</t>
  </si>
  <si>
    <t>T12</t>
  </si>
  <si>
    <t>—</t>
  </si>
  <si>
    <t>Sprint 2 planning meeting</t>
  </si>
  <si>
    <t>Build change-due calculation for cash payments</t>
  </si>
  <si>
    <t>T13</t>
  </si>
  <si>
    <t>Daily standups (10 working days)</t>
  </si>
  <si>
    <t>T14</t>
  </si>
  <si>
    <t>Sprint 2 review/demo</t>
  </si>
  <si>
    <t>Link checkout completion to automatic inventory decrement</t>
  </si>
  <si>
    <t>T15</t>
  </si>
  <si>
    <t>Sprint 2 retrospective</t>
  </si>
  <si>
    <t>Remaining units (actual)</t>
  </si>
  <si>
    <t>Link supplier receiving action to automatic inventory increment</t>
  </si>
  <si>
    <t>Sprint 1 planning meeting</t>
  </si>
  <si>
    <t>Remaining units (ideal)</t>
  </si>
  <si>
    <t>Set up development infrastructure (GitHub repo, database server)</t>
  </si>
  <si>
    <t>Sprint 1 review/demo</t>
  </si>
  <si>
    <t>T16</t>
  </si>
  <si>
    <t>Sprint 1 retrospective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</si>
</sst>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"/>
    <numFmt numFmtId="165" formatCode="m/d/yyyy"/>
    <numFmt numFmtId="166" formatCode="ddd\ dd/mm"/>
    <numFmt numFmtId="167" formatCode="0.0"/>
  </numFmts>
  <fonts count="20">
    <font>
      <sz val="10.0"/>
      <color rgb="FF000000"/>
      <name val="Arial"/>
      <scheme val="minor"/>
    </font>
    <font>
      <b/>
      <i/>
      <sz val="10.0"/>
      <color theme="1"/>
      <name val="Arial"/>
    </font>
    <font>
      <sz val="10.0"/>
      <color theme="1"/>
      <name val="Arial"/>
    </font>
    <font>
      <sz val="14.0"/>
      <color rgb="FFFFFFFF"/>
      <name val="Calibri"/>
    </font>
    <font/>
    <font>
      <sz val="10.0"/>
      <color theme="1"/>
      <name val="Calibri"/>
    </font>
    <font>
      <sz val="12.0"/>
      <color theme="1"/>
      <name val="Times New Roman"/>
    </font>
    <font>
      <b/>
      <i/>
      <sz val="10.0"/>
      <color theme="1"/>
      <name val="Calibri"/>
    </font>
    <font>
      <sz val="12.0"/>
      <color rgb="FFFFFFFF"/>
      <name val="Times New Roman"/>
    </font>
    <font>
      <b/>
      <sz val="12.0"/>
      <color theme="1"/>
      <name val="Times New Roman"/>
    </font>
    <font>
      <i/>
      <sz val="12.0"/>
      <color theme="1"/>
      <name val="Times New Roman"/>
    </font>
    <font>
      <u/>
      <sz val="10.0"/>
      <color rgb="FF0000D4"/>
      <name val="Calibri"/>
    </font>
    <font>
      <b/>
      <sz val="10.0"/>
      <color theme="1"/>
      <name val="Calibri"/>
    </font>
    <font>
      <b/>
      <i/>
      <sz val="12.0"/>
      <color rgb="FFFFFFFF"/>
      <name val="Times New Roman"/>
    </font>
    <font>
      <b/>
      <i/>
      <sz val="12.0"/>
      <color theme="1"/>
      <name val="Times New Roman"/>
    </font>
    <font>
      <sz val="14.0"/>
      <color rgb="FFFFFFFF"/>
      <name val="Arial"/>
    </font>
    <font>
      <sz val="10.0"/>
      <color rgb="FF000000"/>
      <name val="Calibri"/>
    </font>
    <font>
      <b/>
      <sz val="10.0"/>
      <color theme="1"/>
      <name val="Arial"/>
    </font>
    <font>
      <i/>
      <sz val="10.0"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CCFFFF"/>
        <bgColor rgb="FFCCFFFF"/>
      </patternFill>
    </fill>
    <fill>
      <patternFill patternType="solid">
        <fgColor rgb="FF7F7F7F"/>
        <bgColor rgb="FF7F7F7F"/>
      </patternFill>
    </fill>
  </fills>
  <borders count="31">
    <border/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Alignment="1" applyFont="1">
      <alignment shrinkToFit="0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0" fillId="0" fontId="5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6" numFmtId="0" xfId="0" applyAlignment="1" applyFont="1">
      <alignment horizontal="center"/>
    </xf>
    <xf borderId="0" fillId="0" fontId="6" numFmtId="0" xfId="0" applyFont="1"/>
    <xf borderId="0" fillId="0" fontId="7" numFmtId="0" xfId="0" applyAlignment="1" applyFont="1">
      <alignment horizontal="center" shrinkToFit="0" vertical="top" wrapText="1"/>
    </xf>
    <xf borderId="0" fillId="0" fontId="5" numFmtId="0" xfId="0" applyAlignment="1" applyFont="1">
      <alignment shrinkToFit="0" wrapText="1"/>
    </xf>
    <xf borderId="1" fillId="2" fontId="8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3" fillId="3" fontId="9" numFmtId="0" xfId="0" applyAlignment="1" applyBorder="1" applyFill="1" applyFont="1">
      <alignment horizontal="center" vertical="center"/>
    </xf>
    <xf borderId="4" fillId="4" fontId="10" numFmtId="0" xfId="0" applyAlignment="1" applyBorder="1" applyFill="1" applyFont="1">
      <alignment horizontal="center" vertical="center"/>
    </xf>
    <xf borderId="0" fillId="0" fontId="11" numFmtId="0" xfId="0" applyAlignment="1" applyFont="1">
      <alignment shrinkToFit="0" wrapText="1"/>
    </xf>
    <xf borderId="0" fillId="0" fontId="5" numFmtId="0" xfId="0" applyAlignment="1" applyFont="1">
      <alignment horizontal="center" shrinkToFit="0" vertical="top" wrapText="1"/>
    </xf>
    <xf borderId="0" fillId="0" fontId="12" numFmtId="0" xfId="0" applyAlignment="1" applyFont="1">
      <alignment shrinkToFit="0" wrapText="1"/>
    </xf>
    <xf borderId="0" fillId="0" fontId="2" numFmtId="0" xfId="0" applyAlignment="1" applyFont="1">
      <alignment vertical="top"/>
    </xf>
    <xf borderId="5" fillId="5" fontId="13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center" vertical="top"/>
    </xf>
    <xf borderId="6" fillId="5" fontId="13" numFmtId="0" xfId="0" applyAlignment="1" applyBorder="1" applyFill="1" applyFont="1">
      <alignment horizontal="center" readingOrder="0" shrinkToFit="0" vertical="center" wrapText="0"/>
    </xf>
    <xf borderId="0" fillId="0" fontId="14" numFmtId="0" xfId="0" applyAlignment="1" applyFont="1">
      <alignment vertical="center"/>
    </xf>
    <xf borderId="7" fillId="4" fontId="5" numFmtId="0" xfId="0" applyAlignment="1" applyBorder="1" applyFill="1" applyFont="1">
      <alignment shrinkToFit="0" wrapText="1"/>
    </xf>
    <xf borderId="1" fillId="2" fontId="15" numFmtId="0" xfId="0" applyAlignment="1" applyBorder="1" applyFill="1" applyFont="1">
      <alignment horizontal="center" shrinkToFit="0" vertical="center" wrapText="1"/>
    </xf>
    <xf borderId="4" fillId="4" fontId="10" numFmtId="0" xfId="0" applyAlignment="1" applyBorder="1" applyFill="1" applyFont="1">
      <alignment horizontal="center" shrinkToFit="0" vertical="center" wrapText="0"/>
    </xf>
    <xf borderId="8" fillId="0" fontId="10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0" fillId="0" fontId="16" numFmtId="0" xfId="0" applyFont="1"/>
    <xf borderId="3" fillId="3" fontId="17" numFmtId="0" xfId="0" applyAlignment="1" applyBorder="1" applyFill="1" applyFont="1">
      <alignment horizontal="center"/>
    </xf>
    <xf borderId="4" fillId="3" fontId="17" numFmtId="0" xfId="0" applyAlignment="1" applyBorder="1" applyFill="1" applyFont="1">
      <alignment horizontal="center"/>
    </xf>
    <xf borderId="8" fillId="4" fontId="18" numFmtId="0" xfId="0" applyAlignment="1" applyBorder="1" applyFill="1" applyFont="1">
      <alignment horizontal="center" readingOrder="0"/>
    </xf>
    <xf borderId="9" fillId="0" fontId="4" numFmtId="0" xfId="0" applyBorder="1" applyFont="1"/>
    <xf borderId="10" fillId="0" fontId="4" numFmtId="0" xfId="0" applyBorder="1" applyFont="1"/>
    <xf borderId="3" fillId="3" fontId="17" numFmtId="0" xfId="0" applyAlignment="1" applyBorder="1" applyFill="1" applyFont="1">
      <alignment horizontal="center" shrinkToFit="0" vertical="top" wrapText="1"/>
    </xf>
    <xf borderId="3" fillId="4" fontId="2" numFmtId="0" xfId="0" applyAlignment="1" applyBorder="1" applyFill="1" applyFont="1">
      <alignment horizontal="center" readingOrder="0" vertical="top"/>
    </xf>
    <xf borderId="3" fillId="4" fontId="2" numFmtId="164" xfId="0" applyAlignment="1" applyBorder="1" applyFill="1" applyFont="1" applyNumberFormat="1">
      <alignment horizontal="center" readingOrder="0" vertical="top"/>
    </xf>
    <xf borderId="3" fillId="4" fontId="2" numFmtId="165" xfId="0" applyAlignment="1" applyBorder="1" applyFill="1" applyFont="1" applyNumberFormat="1">
      <alignment horizontal="center" readingOrder="0" vertical="top"/>
    </xf>
    <xf borderId="0" fillId="0" fontId="17" numFmtId="0" xfId="0" applyAlignment="1" applyFont="1">
      <alignment shrinkToFit="0" vertical="top" wrapText="1"/>
    </xf>
    <xf borderId="11" fillId="3" fontId="17" numFmtId="0" xfId="0" applyAlignment="1" applyBorder="1" applyFill="1" applyFont="1">
      <alignment horizontal="center" vertical="top"/>
    </xf>
    <xf borderId="12" fillId="0" fontId="4" numFmtId="0" xfId="0" applyBorder="1" applyFont="1"/>
    <xf borderId="13" fillId="0" fontId="4" numFmtId="0" xfId="0" applyBorder="1" applyFont="1"/>
    <xf borderId="14" fillId="3" fontId="17" numFmtId="0" xfId="0" applyAlignment="1" applyBorder="1" applyFill="1" applyFont="1">
      <alignment horizontal="center" vertical="top"/>
    </xf>
    <xf borderId="15" fillId="3" fontId="17" numFmtId="0" xfId="0" applyAlignment="1" applyBorder="1" applyFill="1" applyFont="1">
      <alignment horizontal="center" vertical="top"/>
    </xf>
    <xf borderId="16" fillId="3" fontId="17" numFmtId="0" xfId="0" applyAlignment="1" applyBorder="1" applyFill="1" applyFont="1">
      <alignment horizontal="center" shrinkToFit="0" vertical="top" wrapText="1"/>
    </xf>
    <xf borderId="17" fillId="3" fontId="17" numFmtId="0" xfId="0" applyAlignment="1" applyBorder="1" applyFill="1" applyFont="1">
      <alignment horizontal="center" shrinkToFit="0" vertical="top" wrapText="1"/>
    </xf>
    <xf borderId="17" fillId="3" fontId="17" numFmtId="0" xfId="0" applyAlignment="1" applyBorder="1" applyFill="1" applyFont="1">
      <alignment shrinkToFit="0" vertical="top" wrapText="1"/>
    </xf>
    <xf borderId="18" fillId="3" fontId="17" numFmtId="0" xfId="0" applyAlignment="1" applyBorder="1" applyFill="1" applyFont="1">
      <alignment shrinkToFit="0" vertical="top" wrapText="1"/>
    </xf>
    <xf borderId="19" fillId="3" fontId="17" numFmtId="0" xfId="0" applyAlignment="1" applyBorder="1" applyFill="1" applyFont="1">
      <alignment horizontal="center" shrinkToFit="0" vertical="top" wrapText="1"/>
    </xf>
    <xf borderId="20" fillId="3" fontId="17" numFmtId="166" xfId="0" applyAlignment="1" applyBorder="1" applyFill="1" applyFont="1" applyNumberFormat="1">
      <alignment horizontal="center" shrinkToFit="0" vertical="top" wrapText="1"/>
    </xf>
    <xf borderId="17" fillId="3" fontId="17" numFmtId="166" xfId="0" applyAlignment="1" applyBorder="1" applyFill="1" applyFont="1" applyNumberFormat="1">
      <alignment horizontal="center" shrinkToFit="0" vertical="top" wrapText="1"/>
    </xf>
    <xf borderId="21" fillId="4" fontId="2" numFmtId="0" xfId="0" applyAlignment="1" applyBorder="1" applyFill="1" applyFont="1">
      <alignment horizontal="center" readingOrder="0" vertical="top"/>
    </xf>
    <xf borderId="3" fillId="4" fontId="2" numFmtId="0" xfId="0" applyAlignment="1" applyBorder="1" applyFill="1" applyFont="1">
      <alignment readingOrder="0" shrinkToFit="0" vertical="top" wrapText="1"/>
    </xf>
    <xf borderId="4" fillId="4" fontId="2" numFmtId="0" xfId="0" applyAlignment="1" applyBorder="1" applyFill="1" applyFont="1">
      <alignment shrinkToFit="0" vertical="top" wrapText="1"/>
    </xf>
    <xf borderId="22" fillId="4" fontId="17" numFmtId="0" xfId="0" applyAlignment="1" applyBorder="1" applyFill="1" applyFont="1">
      <alignment horizontal="center" readingOrder="0" vertical="top"/>
    </xf>
    <xf borderId="23" fillId="4" fontId="2" numFmtId="0" xfId="0" applyAlignment="1" applyBorder="1" applyFill="1" applyFont="1">
      <alignment horizontal="center" vertical="top"/>
    </xf>
    <xf borderId="3" fillId="4" fontId="2" numFmtId="0" xfId="0" applyAlignment="1" applyBorder="1" applyFill="1" applyFont="1">
      <alignment horizontal="center" vertical="top"/>
    </xf>
    <xf borderId="24" fillId="4" fontId="17" numFmtId="0" xfId="0" applyAlignment="1" applyBorder="1" applyFill="1" applyFont="1">
      <alignment readingOrder="0" shrinkToFit="0" vertical="top" wrapText="1"/>
    </xf>
    <xf borderId="25" fillId="4" fontId="17" numFmtId="0" xfId="0" applyAlignment="1" applyBorder="1" applyFill="1" applyFont="1">
      <alignment shrinkToFit="0" vertical="top" wrapText="1"/>
    </xf>
    <xf borderId="24" fillId="4" fontId="2" numFmtId="0" xfId="0" applyAlignment="1" applyBorder="1" applyFill="1" applyFont="1">
      <alignment horizontal="center" vertical="top"/>
    </xf>
    <xf borderId="26" fillId="4" fontId="2" numFmtId="0" xfId="0" applyAlignment="1" applyBorder="1" applyFill="1" applyFont="1">
      <alignment horizontal="center" readingOrder="0" vertical="top"/>
    </xf>
    <xf borderId="27" fillId="4" fontId="2" numFmtId="0" xfId="0" applyAlignment="1" applyBorder="1" applyFill="1" applyFont="1">
      <alignment horizontal="center" readingOrder="0" vertical="top"/>
    </xf>
    <xf borderId="27" fillId="4" fontId="17" numFmtId="0" xfId="0" applyAlignment="1" applyBorder="1" applyFill="1" applyFont="1">
      <alignment readingOrder="0" shrinkToFit="0" vertical="top" wrapText="1"/>
    </xf>
    <xf borderId="27" fillId="4" fontId="17" numFmtId="0" xfId="0" applyAlignment="1" applyBorder="1" applyFill="1" applyFont="1">
      <alignment shrinkToFit="0" vertical="top" wrapText="1"/>
    </xf>
    <xf borderId="28" fillId="4" fontId="17" numFmtId="0" xfId="0" applyAlignment="1" applyBorder="1" applyFill="1" applyFont="1">
      <alignment horizontal="center" readingOrder="0" vertical="top"/>
    </xf>
    <xf borderId="26" fillId="4" fontId="2" numFmtId="0" xfId="0" applyAlignment="1" applyBorder="1" applyFill="1" applyFont="1">
      <alignment horizontal="center" vertical="top"/>
    </xf>
    <xf borderId="27" fillId="4" fontId="2" numFmtId="0" xfId="0" applyAlignment="1" applyBorder="1" applyFill="1" applyFont="1">
      <alignment horizontal="center" vertical="top"/>
    </xf>
    <xf borderId="27" fillId="4" fontId="2" numFmtId="0" xfId="0" applyAlignment="1" applyBorder="1" applyFill="1" applyFont="1">
      <alignment readingOrder="0" shrinkToFit="0" vertical="top" wrapText="1"/>
    </xf>
    <xf borderId="27" fillId="4" fontId="2" numFmtId="0" xfId="0" applyAlignment="1" applyBorder="1" applyFill="1" applyFont="1">
      <alignment shrinkToFit="0" vertical="top" wrapText="1"/>
    </xf>
    <xf borderId="28" fillId="4" fontId="2" numFmtId="0" xfId="0" applyAlignment="1" applyBorder="1" applyFill="1" applyFont="1">
      <alignment horizontal="center" readingOrder="0" vertical="top"/>
    </xf>
    <xf borderId="3" fillId="3" fontId="17" numFmtId="0" xfId="0" applyAlignment="1" applyBorder="1" applyFill="1" applyFont="1">
      <alignment shrinkToFit="0" vertical="top" wrapText="1"/>
    </xf>
    <xf borderId="24" fillId="3" fontId="17" numFmtId="0" xfId="0" applyAlignment="1" applyBorder="1" applyFill="1" applyFont="1">
      <alignment shrinkToFit="0" vertical="top" wrapText="1"/>
    </xf>
    <xf borderId="29" fillId="0" fontId="17" numFmtId="0" xfId="0" applyAlignment="1" applyBorder="1" applyFont="1">
      <alignment horizontal="center" vertical="center"/>
    </xf>
    <xf borderId="3" fillId="0" fontId="17" numFmtId="0" xfId="0" applyAlignment="1" applyBorder="1" applyFont="1">
      <alignment horizontal="center" vertical="top"/>
    </xf>
    <xf borderId="6" fillId="3" fontId="17" numFmtId="0" xfId="0" applyAlignment="1" applyBorder="1" applyFill="1" applyFont="1">
      <alignment shrinkToFit="0" vertical="top" wrapText="1"/>
    </xf>
    <xf borderId="30" fillId="0" fontId="4" numFmtId="0" xfId="0" applyBorder="1" applyFont="1"/>
    <xf borderId="3" fillId="0" fontId="17" numFmtId="167" xfId="0" applyAlignment="1" applyBorder="1" applyFont="1" applyNumberFormat="1">
      <alignment horizontal="center" vertical="top"/>
    </xf>
    <xf borderId="0" fillId="0" fontId="19" numFmtId="0" xfId="0" applyFont="1"/>
    <xf borderId="0" fillId="0" fontId="19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rgb="FFD4D4D4"/>
        </vertical>
        <horizontal style="thin">
          <color rgb="FFD4D4D4"/>
        </horizontal>
      </border>
    </dxf>
    <dxf>
      <font>
        <color rgb="FF339966"/>
      </font>
      <fill>
        <patternFill patternType="none"/>
      </fill>
      <border/>
    </dxf>
    <dxf>
      <font>
        <color rgb="FFDD0806"/>
      </font>
      <fill>
        <patternFill patternType="none"/>
      </fill>
      <border/>
    </dxf>
  </dxfs>
  <tableStyles count="1">
    <tableStyle count="4" pivot="0" name="Product backlo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Arial"/>
              </a:defRPr>
            </a:pPr>
            <a:r>
              <a:rPr b="1" i="0" sz="1200">
                <a:solidFill>
                  <a:srgbClr val="000000"/>
                </a:solidFill>
                <a:latin typeface="Arial"/>
              </a:rPr>
              <a:t>Burndown Chart </a:t>
            </a:r>
          </a:p>
        </c:rich>
      </c:tx>
      <c:layout>
        <c:manualLayout>
          <c:xMode val="edge"/>
          <c:yMode val="edge"/>
          <c:x val="0.40353269043616735"/>
          <c:y val="0.04289547139940841"/>
        </c:manualLayout>
      </c:layout>
      <c:overlay val="0"/>
    </c:title>
    <c:plotArea>
      <c:layout>
        <c:manualLayout>
          <c:xMode val="edge"/>
          <c:yMode val="edge"/>
          <c:x val="0.10375100372727382"/>
          <c:y val="0.16895841228402597"/>
          <c:w val="0.8804353667120671"/>
          <c:h val="0.6621992582827925"/>
        </c:manualLayout>
      </c:layout>
      <c:lineChart>
        <c:varyColors val="0"/>
        <c:ser>
          <c:idx val="0"/>
          <c:order val="0"/>
          <c:spPr>
            <a:ln cmpd="sng" w="9525">
              <a:solidFill>
                <a:srgbClr val="000090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90">
                  <a:alpha val="100000"/>
                </a:srgbClr>
              </a:solidFill>
              <a:ln cmpd="sng">
                <a:solidFill>
                  <a:srgbClr val="00009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'Sprint 1'!$F$28:$S$28</c:f>
            </c:strRef>
          </c:cat>
          <c:val>
            <c:numRef>
              <c:f>'Sprint 1'!$F$29:$S$29</c:f>
              <c:numCache/>
            </c:numRef>
          </c:val>
          <c:smooth val="1"/>
        </c:ser>
        <c:axId val="197164841"/>
        <c:axId val="1068065668"/>
      </c:lineChart>
      <c:catAx>
        <c:axId val="1971648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1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100">
                    <a:solidFill>
                      <a:srgbClr val="000000"/>
                    </a:solidFill>
                    <a:latin typeface="Arial"/>
                  </a:rPr>
                  <a:t>Days</a:t>
                </a:r>
              </a:p>
            </c:rich>
          </c:tx>
          <c:layout>
            <c:manualLayout>
              <c:xMode val="edge"/>
              <c:yMode val="edge"/>
              <c:x val="0.5135872482231856"/>
              <c:y val="0.9142101681734228"/>
            </c:manualLayout>
          </c:layout>
          <c:overlay val="0"/>
        </c:title>
        <c:numFmt formatCode="General" sourceLinked="1"/>
        <c:majorTickMark val="out"/>
        <c:minorTickMark val="none"/>
        <c:spPr/>
        <c:txPr>
          <a:bodyPr rot="0"/>
          <a:lstStyle/>
          <a:p>
            <a:pPr lvl="0">
              <a:defRPr b="0" i="0" sz="1100">
                <a:solidFill>
                  <a:srgbClr val="000000"/>
                </a:solidFill>
                <a:latin typeface="Arial"/>
              </a:defRPr>
            </a:pPr>
          </a:p>
        </c:txPr>
        <c:crossAx val="1068065668"/>
      </c:catAx>
      <c:valAx>
        <c:axId val="10680656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1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100">
                    <a:solidFill>
                      <a:srgbClr val="000000"/>
                    </a:solidFill>
                    <a:latin typeface="Arial"/>
                  </a:rPr>
                  <a:t>Remaining Scrum units</a:t>
                </a:r>
              </a:p>
            </c:rich>
          </c:tx>
          <c:layout>
            <c:manualLayout>
              <c:xMode val="edge"/>
              <c:yMode val="edge"/>
              <c:x val="0.02445648647851603"/>
              <c:y val="0.2815017567248538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100">
                <a:solidFill>
                  <a:srgbClr val="000000"/>
                </a:solidFill>
                <a:latin typeface="Arial"/>
              </a:defRPr>
            </a:pPr>
          </a:p>
        </c:txPr>
        <c:crossAx val="197164841"/>
      </c:valAx>
      <c:spPr>
        <a:solidFill>
          <a:srgbClr val="FFFFEF"/>
        </a:solidFill>
      </c:spPr>
    </c:plotArea>
    <c:legend>
      <c:legendPos val="r"/>
      <c:layout>
        <c:manualLayout>
          <c:xMode val="edge"/>
          <c:yMode val="edge"/>
          <c:x val="0.8038052752595005"/>
          <c:y val="0.3048127317418656"/>
        </c:manualLayout>
      </c:layout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Arial"/>
              </a:defRPr>
            </a:pPr>
            <a:r>
              <a:rPr b="1" i="0" sz="1200">
                <a:solidFill>
                  <a:srgbClr val="000000"/>
                </a:solidFill>
                <a:latin typeface="Arial"/>
              </a:rPr>
              <a:t>Burndown Chart </a:t>
            </a:r>
          </a:p>
        </c:rich>
      </c:tx>
      <c:layout>
        <c:manualLayout>
          <c:xMode val="edge"/>
          <c:yMode val="edge"/>
          <c:x val="0.40353269043616735"/>
          <c:y val="0.04289547139940841"/>
        </c:manualLayout>
      </c:layout>
      <c:overlay val="0"/>
    </c:title>
    <c:plotArea>
      <c:layout>
        <c:manualLayout>
          <c:xMode val="edge"/>
          <c:yMode val="edge"/>
          <c:x val="0.10375100372727382"/>
          <c:y val="0.16895841228402597"/>
          <c:w val="0.8804353667120671"/>
          <c:h val="0.6621992582827925"/>
        </c:manualLayout>
      </c:layout>
      <c:lineChart>
        <c:varyColors val="0"/>
        <c:ser>
          <c:idx val="0"/>
          <c:order val="0"/>
          <c:spPr>
            <a:ln cmpd="sng" w="9525">
              <a:solidFill>
                <a:srgbClr val="000090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90">
                  <a:alpha val="100000"/>
                </a:srgbClr>
              </a:solidFill>
              <a:ln cmpd="sng">
                <a:solidFill>
                  <a:srgbClr val="00009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'Sprint 2'!$F$26:$S$26</c:f>
            </c:strRef>
          </c:cat>
          <c:val>
            <c:numRef>
              <c:f>'Sprint 2'!$F$27:$S$27</c:f>
              <c:numCache/>
            </c:numRef>
          </c:val>
          <c:smooth val="1"/>
        </c:ser>
        <c:axId val="734461938"/>
        <c:axId val="476151368"/>
      </c:lineChart>
      <c:catAx>
        <c:axId val="7344619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1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100">
                    <a:solidFill>
                      <a:srgbClr val="000000"/>
                    </a:solidFill>
                    <a:latin typeface="Arial"/>
                  </a:rPr>
                  <a:t>Days</a:t>
                </a:r>
              </a:p>
            </c:rich>
          </c:tx>
          <c:layout>
            <c:manualLayout>
              <c:xMode val="edge"/>
              <c:yMode val="edge"/>
              <c:x val="0.5135872482231856"/>
              <c:y val="0.9142101681734228"/>
            </c:manualLayout>
          </c:layout>
          <c:overlay val="0"/>
        </c:title>
        <c:numFmt formatCode="General" sourceLinked="1"/>
        <c:majorTickMark val="out"/>
        <c:minorTickMark val="none"/>
        <c:spPr/>
        <c:txPr>
          <a:bodyPr rot="0"/>
          <a:lstStyle/>
          <a:p>
            <a:pPr lvl="0">
              <a:defRPr b="0" i="0" sz="1100">
                <a:solidFill>
                  <a:srgbClr val="000000"/>
                </a:solidFill>
                <a:latin typeface="Arial"/>
              </a:defRPr>
            </a:pPr>
          </a:p>
        </c:txPr>
        <c:crossAx val="476151368"/>
      </c:catAx>
      <c:valAx>
        <c:axId val="4761513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1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100">
                    <a:solidFill>
                      <a:srgbClr val="000000"/>
                    </a:solidFill>
                    <a:latin typeface="Arial"/>
                  </a:rPr>
                  <a:t>Remaining Scrum units</a:t>
                </a:r>
              </a:p>
            </c:rich>
          </c:tx>
          <c:layout>
            <c:manualLayout>
              <c:xMode val="edge"/>
              <c:yMode val="edge"/>
              <c:x val="0.02445648647851603"/>
              <c:y val="0.2815017567248538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100">
                <a:solidFill>
                  <a:srgbClr val="000000"/>
                </a:solidFill>
                <a:latin typeface="Arial"/>
              </a:defRPr>
            </a:pPr>
          </a:p>
        </c:txPr>
        <c:crossAx val="734461938"/>
      </c:valAx>
      <c:spPr>
        <a:solidFill>
          <a:srgbClr val="FFFFEF"/>
        </a:solidFill>
      </c:spPr>
    </c:plotArea>
    <c:legend>
      <c:legendPos val="r"/>
      <c:layout>
        <c:manualLayout>
          <c:xMode val="edge"/>
          <c:yMode val="edge"/>
          <c:x val="0.8038052752595005"/>
          <c:y val="0.3048127317418656"/>
        </c:manualLayout>
      </c:layout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18</xdr:row>
      <xdr:rowOff>95250</xdr:rowOff>
    </xdr:from>
    <xdr:ext cx="828675" cy="295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857250</xdr:colOff>
      <xdr:row>30</xdr:row>
      <xdr:rowOff>0</xdr:rowOff>
    </xdr:from>
    <xdr:ext cx="13687425" cy="36004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857250</xdr:colOff>
      <xdr:row>28</xdr:row>
      <xdr:rowOff>0</xdr:rowOff>
    </xdr:from>
    <xdr:ext cx="13687425" cy="36004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0:G20" displayName="Table1" name="Table1" id="1">
  <tableColumns count="7">
    <tableColumn name=" Story ID" id="1"/>
    <tableColumn name="Title" id="2"/>
    <tableColumn name="Description" id="3"/>
    <tableColumn name="Acceptance Criteria" id="4"/>
    <tableColumn name="Priority #" id="5"/>
    <tableColumn name="Sprint #" id="6"/>
    <tableColumn name="Responsibility" id="7"/>
  </tableColumns>
  <tableStyleInfo name="Product back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75"/>
    <col customWidth="1" min="2" max="2" width="114.88"/>
    <col customWidth="1" min="3" max="22" width="11.38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9.75" customHeight="1">
      <c r="A2" s="3" t="s">
        <v>0</v>
      </c>
      <c r="B2" s="4"/>
      <c r="C2" s="5"/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9"/>
      <c r="B3" s="5"/>
      <c r="C3" s="10"/>
      <c r="D3" s="10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9"/>
      <c r="B4" s="12"/>
      <c r="C4" s="12"/>
      <c r="D4" s="12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2.75" customHeight="1">
      <c r="A5" s="9"/>
      <c r="B5" s="12"/>
      <c r="C5" s="12"/>
      <c r="D5" s="12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2.75" customHeight="1">
      <c r="A6" s="9" t="s">
        <v>3</v>
      </c>
      <c r="B6" s="10" t="s">
        <v>4</v>
      </c>
      <c r="C6" s="10"/>
      <c r="D6" s="10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9"/>
      <c r="B7" s="12"/>
      <c r="C7" s="12"/>
      <c r="D7" s="12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2.75" customHeight="1">
      <c r="A8" s="9"/>
      <c r="B8" s="16"/>
      <c r="C8" s="12"/>
      <c r="D8" s="12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2.75" customHeight="1">
      <c r="A9" s="17"/>
      <c r="B9" s="16"/>
      <c r="C9" s="10"/>
      <c r="D9" s="10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9"/>
      <c r="B10" s="12"/>
      <c r="C10" s="12"/>
      <c r="D10" s="12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2.75" customHeight="1">
      <c r="A11" s="9" t="s">
        <v>11</v>
      </c>
      <c r="B11" s="18" t="s">
        <v>12</v>
      </c>
      <c r="C11" s="10"/>
      <c r="D11" s="10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9"/>
      <c r="B12" s="18" t="s">
        <v>14</v>
      </c>
      <c r="C12" s="10"/>
      <c r="D12" s="10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9"/>
      <c r="B13" s="18"/>
      <c r="C13" s="10"/>
      <c r="D13" s="10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9"/>
      <c r="B14" s="10"/>
      <c r="C14" s="10"/>
      <c r="D14" s="10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9" t="s">
        <v>22</v>
      </c>
      <c r="B15" s="25" t="s">
        <v>23</v>
      </c>
      <c r="C15" s="10"/>
      <c r="D15" s="10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9"/>
      <c r="B16" s="10" t="s">
        <v>27</v>
      </c>
      <c r="C16" s="10"/>
      <c r="D16" s="10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9"/>
      <c r="B17" s="10"/>
      <c r="C17" s="10"/>
      <c r="D17" s="10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9" t="s">
        <v>28</v>
      </c>
      <c r="B18" s="30" t="s">
        <v>29</v>
      </c>
      <c r="C18" s="12"/>
      <c r="D18" s="12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2.75" customHeight="1">
      <c r="A19" s="9"/>
      <c r="B19" s="10"/>
      <c r="C19" s="10"/>
      <c r="D19" s="10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9"/>
      <c r="B20" s="10"/>
      <c r="C20" s="10"/>
      <c r="D20" s="10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9"/>
      <c r="B21" s="10"/>
      <c r="C21" s="10"/>
      <c r="D21" s="10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9"/>
      <c r="B22" s="10"/>
      <c r="C22" s="10"/>
      <c r="D22" s="10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9" t="s">
        <v>40</v>
      </c>
      <c r="B23" s="10" t="s">
        <v>42</v>
      </c>
      <c r="C23" s="10"/>
      <c r="D23" s="10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9"/>
      <c r="B24" s="16"/>
      <c r="C24" s="10"/>
      <c r="D24" s="10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B2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36.13"/>
    <col customWidth="1" min="3" max="3" width="137.63"/>
    <col customWidth="1" min="4" max="4" width="144.75"/>
    <col customWidth="1" min="5" max="5" width="15.63"/>
    <col customWidth="1" min="6" max="6" width="11.88"/>
    <col customWidth="1" min="7" max="7" width="20.63"/>
    <col customWidth="1" min="8" max="27" width="11.38"/>
  </cols>
  <sheetData>
    <row r="1" ht="15.75" customHeight="1">
      <c r="A1" s="7"/>
      <c r="B1" s="8"/>
      <c r="C1" s="8"/>
      <c r="D1" s="8"/>
      <c r="E1" s="7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ht="15.75" customHeight="1">
      <c r="A2" s="11" t="s">
        <v>0</v>
      </c>
      <c r="B2" s="4"/>
      <c r="C2" s="4"/>
      <c r="D2" s="4"/>
      <c r="E2" s="4"/>
      <c r="F2" s="4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15.75" customHeight="1">
      <c r="A3" s="7"/>
      <c r="B3" s="8"/>
      <c r="C3" s="8"/>
      <c r="D3" s="7"/>
      <c r="E3" s="7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15.75" customHeight="1">
      <c r="A4" s="7"/>
      <c r="B4" s="14" t="s">
        <v>1</v>
      </c>
      <c r="C4" s="15" t="s">
        <v>2</v>
      </c>
      <c r="D4" s="7"/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15.75" customHeight="1">
      <c r="A5" s="7"/>
      <c r="B5" s="14" t="s">
        <v>5</v>
      </c>
      <c r="C5" s="15" t="s">
        <v>6</v>
      </c>
      <c r="D5" s="7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15.75" customHeight="1">
      <c r="A6" s="7"/>
      <c r="B6" s="14" t="s">
        <v>7</v>
      </c>
      <c r="C6" s="15" t="s">
        <v>8</v>
      </c>
      <c r="D6" s="7"/>
      <c r="E6" s="7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15.75" customHeight="1">
      <c r="A7" s="7"/>
      <c r="B7" s="14" t="s">
        <v>9</v>
      </c>
      <c r="C7" s="15" t="s">
        <v>8</v>
      </c>
      <c r="D7" s="7"/>
      <c r="E7" s="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15.75" customHeight="1">
      <c r="A8" s="7"/>
      <c r="B8" s="14" t="s">
        <v>10</v>
      </c>
      <c r="C8" s="15" t="s">
        <v>8</v>
      </c>
      <c r="D8" s="7"/>
      <c r="E8" s="7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15.75" customHeight="1">
      <c r="A9" s="7"/>
      <c r="B9" s="8"/>
      <c r="C9" s="8"/>
      <c r="D9" s="7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15.75" customHeight="1">
      <c r="A10" s="20" t="s">
        <v>13</v>
      </c>
      <c r="B10" s="23" t="s">
        <v>15</v>
      </c>
      <c r="C10" s="23" t="s">
        <v>16</v>
      </c>
      <c r="D10" s="23" t="s">
        <v>17</v>
      </c>
      <c r="E10" s="23" t="s">
        <v>18</v>
      </c>
      <c r="F10" s="23" t="s">
        <v>19</v>
      </c>
      <c r="G10" s="23" t="s">
        <v>20</v>
      </c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ht="15.75" customHeight="1">
      <c r="A11" s="27" t="s">
        <v>21</v>
      </c>
      <c r="B11" s="27" t="s">
        <v>24</v>
      </c>
      <c r="C11" s="27" t="s">
        <v>25</v>
      </c>
      <c r="D11" s="27" t="s">
        <v>26</v>
      </c>
      <c r="E11" s="27">
        <v>1.0</v>
      </c>
      <c r="F11" s="27"/>
      <c r="G11" s="27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15.75" customHeight="1">
      <c r="A12" s="27" t="s">
        <v>30</v>
      </c>
      <c r="B12" s="27" t="s">
        <v>31</v>
      </c>
      <c r="C12" s="27" t="s">
        <v>32</v>
      </c>
      <c r="D12" s="27" t="s">
        <v>33</v>
      </c>
      <c r="E12" s="27">
        <v>2.0</v>
      </c>
      <c r="F12" s="27"/>
      <c r="G12" s="27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15.75" customHeight="1">
      <c r="A13" s="27" t="s">
        <v>34</v>
      </c>
      <c r="B13" s="27" t="s">
        <v>35</v>
      </c>
      <c r="C13" s="27" t="s">
        <v>37</v>
      </c>
      <c r="D13" s="27" t="s">
        <v>38</v>
      </c>
      <c r="E13" s="27">
        <v>3.0</v>
      </c>
      <c r="F13" s="27"/>
      <c r="G13" s="27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15.75" customHeight="1">
      <c r="A14" s="27" t="s">
        <v>43</v>
      </c>
      <c r="B14" s="27" t="s">
        <v>45</v>
      </c>
      <c r="C14" s="27" t="s">
        <v>46</v>
      </c>
      <c r="D14" s="27" t="s">
        <v>47</v>
      </c>
      <c r="E14" s="27">
        <v>4.0</v>
      </c>
      <c r="F14" s="27"/>
      <c r="G14" s="27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ht="15.75" customHeight="1">
      <c r="A15" s="27" t="s">
        <v>51</v>
      </c>
      <c r="B15" s="27" t="s">
        <v>52</v>
      </c>
      <c r="C15" s="27" t="s">
        <v>53</v>
      </c>
      <c r="D15" s="27" t="s">
        <v>54</v>
      </c>
      <c r="E15" s="27">
        <v>5.0</v>
      </c>
      <c r="F15" s="27"/>
      <c r="G15" s="27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ht="15.75" customHeight="1">
      <c r="A16" s="27" t="s">
        <v>55</v>
      </c>
      <c r="B16" s="27" t="s">
        <v>56</v>
      </c>
      <c r="C16" s="27" t="s">
        <v>57</v>
      </c>
      <c r="D16" s="27" t="s">
        <v>58</v>
      </c>
      <c r="E16" s="27">
        <v>6.0</v>
      </c>
      <c r="F16" s="27"/>
      <c r="G16" s="27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ht="15.75" customHeight="1">
      <c r="A17" s="27" t="s">
        <v>61</v>
      </c>
      <c r="B17" s="27" t="s">
        <v>63</v>
      </c>
      <c r="C17" s="27" t="s">
        <v>64</v>
      </c>
      <c r="D17" s="27" t="s">
        <v>65</v>
      </c>
      <c r="E17" s="27">
        <v>7.0</v>
      </c>
      <c r="F17" s="27"/>
      <c r="G17" s="27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ht="15.75" customHeight="1">
      <c r="A18" s="27" t="s">
        <v>68</v>
      </c>
      <c r="B18" s="27" t="s">
        <v>69</v>
      </c>
      <c r="C18" s="27" t="s">
        <v>71</v>
      </c>
      <c r="D18" s="27" t="s">
        <v>73</v>
      </c>
      <c r="E18" s="27">
        <v>8.0</v>
      </c>
      <c r="F18" s="27"/>
      <c r="G18" s="27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ht="15.75" customHeight="1">
      <c r="A19" s="27"/>
      <c r="B19" s="27"/>
      <c r="C19" s="27"/>
      <c r="D19" s="27"/>
      <c r="E19" s="27"/>
      <c r="F19" s="27"/>
      <c r="G19" s="27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ht="15.75" customHeight="1">
      <c r="A20" s="27"/>
      <c r="B20" s="27"/>
      <c r="C20" s="27"/>
      <c r="D20" s="27"/>
      <c r="E20" s="27"/>
      <c r="F20" s="27"/>
      <c r="G20" s="27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75" customHeight="1">
      <c r="A21" s="15"/>
      <c r="B21" s="15"/>
      <c r="C21" s="15"/>
      <c r="D21" s="15"/>
      <c r="E21" s="15"/>
      <c r="F21" s="15"/>
      <c r="G21" s="15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15.75" customHeight="1">
      <c r="A25" s="7"/>
      <c r="B25" s="8"/>
      <c r="C25" s="8"/>
      <c r="D25" s="8"/>
      <c r="E25" s="7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15.75" customHeight="1">
      <c r="A26" s="7"/>
      <c r="B26" s="8"/>
      <c r="C26" s="8"/>
      <c r="D26" s="8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15.75" customHeight="1">
      <c r="A27" s="7"/>
      <c r="B27" s="8"/>
      <c r="C27" s="8"/>
      <c r="D27" s="8"/>
      <c r="E27" s="7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15.75" customHeight="1">
      <c r="A28" s="7"/>
      <c r="B28" s="8"/>
      <c r="C28" s="8"/>
      <c r="D28" s="8"/>
      <c r="E28" s="7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15.75" customHeight="1">
      <c r="A29" s="7"/>
      <c r="B29" s="8"/>
      <c r="C29" s="8"/>
      <c r="D29" s="8"/>
      <c r="E29" s="7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15.75" customHeight="1">
      <c r="A30" s="7"/>
      <c r="B30" s="8"/>
      <c r="C30" s="8"/>
      <c r="D30" s="8"/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15.75" customHeight="1">
      <c r="A31" s="7"/>
      <c r="B31" s="8"/>
      <c r="C31" s="8"/>
      <c r="D31" s="8"/>
      <c r="E31" s="7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5.75" customHeight="1">
      <c r="A32" s="7"/>
      <c r="B32" s="8"/>
      <c r="C32" s="8"/>
      <c r="D32" s="8"/>
      <c r="E32" s="7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15.75" customHeight="1">
      <c r="A33" s="7"/>
      <c r="B33" s="8"/>
      <c r="C33" s="8"/>
      <c r="D33" s="8"/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5.75" customHeight="1">
      <c r="A34" s="7"/>
      <c r="B34" s="8"/>
      <c r="C34" s="8"/>
      <c r="D34" s="8"/>
      <c r="E34" s="7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5.75" customHeight="1">
      <c r="A35" s="7"/>
      <c r="B35" s="8"/>
      <c r="C35" s="8"/>
      <c r="D35" s="8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5.75" customHeight="1">
      <c r="A36" s="7"/>
      <c r="B36" s="8"/>
      <c r="C36" s="8"/>
      <c r="D36" s="8"/>
      <c r="E36" s="7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5.75" customHeight="1">
      <c r="A37" s="7"/>
      <c r="B37" s="8"/>
      <c r="C37" s="8"/>
      <c r="D37" s="8"/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5.75" customHeight="1">
      <c r="A38" s="7"/>
      <c r="B38" s="8"/>
      <c r="C38" s="8"/>
      <c r="D38" s="8"/>
      <c r="E38" s="7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5.75" customHeight="1">
      <c r="A39" s="7"/>
      <c r="B39" s="8"/>
      <c r="C39" s="8"/>
      <c r="D39" s="8"/>
      <c r="E39" s="7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5.75" customHeight="1">
      <c r="A40" s="7"/>
      <c r="B40" s="8"/>
      <c r="C40" s="8"/>
      <c r="D40" s="8"/>
      <c r="E40" s="7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5.75" customHeight="1">
      <c r="A41" s="7"/>
      <c r="B41" s="8"/>
      <c r="C41" s="8"/>
      <c r="D41" s="8"/>
      <c r="E41" s="7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5.75" customHeight="1">
      <c r="A42" s="7"/>
      <c r="B42" s="8"/>
      <c r="C42" s="8"/>
      <c r="D42" s="8"/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5.75" customHeight="1">
      <c r="A43" s="7"/>
      <c r="B43" s="8"/>
      <c r="C43" s="8"/>
      <c r="D43" s="8"/>
      <c r="E43" s="7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5.75" customHeight="1">
      <c r="A44" s="7"/>
      <c r="B44" s="8"/>
      <c r="C44" s="8"/>
      <c r="D44" s="8"/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5.75" customHeight="1">
      <c r="A45" s="7"/>
      <c r="B45" s="8"/>
      <c r="C45" s="8"/>
      <c r="D45" s="8"/>
      <c r="E45" s="7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5.75" customHeight="1">
      <c r="A46" s="7"/>
      <c r="B46" s="8"/>
      <c r="C46" s="8"/>
      <c r="D46" s="8"/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5.75" customHeight="1">
      <c r="A47" s="7"/>
      <c r="B47" s="8"/>
      <c r="C47" s="8"/>
      <c r="D47" s="8"/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5.75" customHeight="1">
      <c r="A48" s="7"/>
      <c r="B48" s="8"/>
      <c r="C48" s="8"/>
      <c r="D48" s="8"/>
      <c r="E48" s="7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5.75" customHeight="1">
      <c r="A49" s="7"/>
      <c r="B49" s="8"/>
      <c r="C49" s="8"/>
      <c r="D49" s="8"/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5.75" customHeight="1">
      <c r="A50" s="7"/>
      <c r="B50" s="8"/>
      <c r="C50" s="8"/>
      <c r="D50" s="8"/>
      <c r="E50" s="7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5.75" customHeight="1">
      <c r="A51" s="7"/>
      <c r="B51" s="8"/>
      <c r="C51" s="8"/>
      <c r="D51" s="8"/>
      <c r="E51" s="7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5.75" customHeight="1">
      <c r="A52" s="7"/>
      <c r="B52" s="8"/>
      <c r="C52" s="8"/>
      <c r="D52" s="8"/>
      <c r="E52" s="7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5.75" customHeight="1">
      <c r="A53" s="7"/>
      <c r="B53" s="8"/>
      <c r="C53" s="8"/>
      <c r="D53" s="8"/>
      <c r="E53" s="7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5.75" customHeight="1">
      <c r="A54" s="7"/>
      <c r="B54" s="8"/>
      <c r="C54" s="8"/>
      <c r="D54" s="8"/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5.75" customHeight="1">
      <c r="A55" s="7"/>
      <c r="B55" s="8"/>
      <c r="C55" s="8"/>
      <c r="D55" s="8"/>
      <c r="E55" s="7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5.75" customHeight="1">
      <c r="A56" s="7"/>
      <c r="B56" s="8"/>
      <c r="C56" s="8"/>
      <c r="D56" s="8"/>
      <c r="E56" s="7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5.75" customHeight="1">
      <c r="A57" s="7"/>
      <c r="B57" s="8"/>
      <c r="C57" s="8"/>
      <c r="D57" s="8"/>
      <c r="E57" s="7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5.75" customHeight="1">
      <c r="A58" s="7"/>
      <c r="B58" s="8"/>
      <c r="C58" s="8"/>
      <c r="D58" s="8"/>
      <c r="E58" s="7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5.75" customHeight="1">
      <c r="A59" s="7"/>
      <c r="B59" s="8"/>
      <c r="C59" s="8"/>
      <c r="D59" s="8"/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5.75" customHeight="1">
      <c r="A60" s="7"/>
      <c r="B60" s="8"/>
      <c r="C60" s="8"/>
      <c r="D60" s="8"/>
      <c r="E60" s="7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5.75" customHeight="1">
      <c r="A61" s="7"/>
      <c r="B61" s="8"/>
      <c r="C61" s="8"/>
      <c r="D61" s="8"/>
      <c r="E61" s="7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5.75" customHeight="1">
      <c r="A62" s="7"/>
      <c r="B62" s="8"/>
      <c r="C62" s="8"/>
      <c r="D62" s="8"/>
      <c r="E62" s="7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5.75" customHeight="1">
      <c r="A63" s="7"/>
      <c r="B63" s="8"/>
      <c r="C63" s="8"/>
      <c r="D63" s="8"/>
      <c r="E63" s="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5.75" customHeight="1">
      <c r="A64" s="7"/>
      <c r="B64" s="8"/>
      <c r="C64" s="8"/>
      <c r="D64" s="8"/>
      <c r="E64" s="7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5.75" customHeight="1">
      <c r="A65" s="7"/>
      <c r="B65" s="8"/>
      <c r="C65" s="8"/>
      <c r="D65" s="8"/>
      <c r="E65" s="7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5.75" customHeight="1">
      <c r="A66" s="7"/>
      <c r="B66" s="8"/>
      <c r="C66" s="8"/>
      <c r="D66" s="8"/>
      <c r="E66" s="7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5.75" customHeight="1">
      <c r="A67" s="7"/>
      <c r="B67" s="8"/>
      <c r="C67" s="8"/>
      <c r="D67" s="8"/>
      <c r="E67" s="7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15.75" customHeight="1">
      <c r="A68" s="7"/>
      <c r="B68" s="8"/>
      <c r="C68" s="8"/>
      <c r="D68" s="8"/>
      <c r="E68" s="7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5.75" customHeight="1">
      <c r="A69" s="7"/>
      <c r="B69" s="8"/>
      <c r="C69" s="8"/>
      <c r="D69" s="8"/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5.75" customHeight="1">
      <c r="A70" s="7"/>
      <c r="B70" s="8"/>
      <c r="C70" s="8"/>
      <c r="D70" s="8"/>
      <c r="E70" s="7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5.75" customHeight="1">
      <c r="A71" s="7"/>
      <c r="B71" s="8"/>
      <c r="C71" s="8"/>
      <c r="D71" s="8"/>
      <c r="E71" s="7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5.75" customHeight="1">
      <c r="A72" s="7"/>
      <c r="B72" s="8"/>
      <c r="C72" s="8"/>
      <c r="D72" s="8"/>
      <c r="E72" s="7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5.75" customHeight="1">
      <c r="A73" s="7"/>
      <c r="B73" s="8"/>
      <c r="C73" s="8"/>
      <c r="D73" s="8"/>
      <c r="E73" s="7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5.75" customHeight="1">
      <c r="A74" s="7"/>
      <c r="B74" s="8"/>
      <c r="C74" s="8"/>
      <c r="D74" s="8"/>
      <c r="E74" s="7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5.75" customHeight="1">
      <c r="A75" s="7"/>
      <c r="B75" s="8"/>
      <c r="C75" s="8"/>
      <c r="D75" s="8"/>
      <c r="E75" s="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5.75" customHeight="1">
      <c r="A76" s="7"/>
      <c r="B76" s="8"/>
      <c r="C76" s="8"/>
      <c r="D76" s="8"/>
      <c r="E76" s="7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5.75" customHeight="1">
      <c r="A77" s="7"/>
      <c r="B77" s="8"/>
      <c r="C77" s="8"/>
      <c r="D77" s="8"/>
      <c r="E77" s="7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5.75" customHeight="1">
      <c r="A78" s="7"/>
      <c r="B78" s="8"/>
      <c r="C78" s="8"/>
      <c r="D78" s="8"/>
      <c r="E78" s="7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5.75" customHeight="1">
      <c r="A79" s="7"/>
      <c r="B79" s="8"/>
      <c r="C79" s="8"/>
      <c r="D79" s="8"/>
      <c r="E79" s="7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5.75" customHeight="1">
      <c r="A80" s="7"/>
      <c r="B80" s="8"/>
      <c r="C80" s="8"/>
      <c r="D80" s="8"/>
      <c r="E80" s="7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5.75" customHeight="1">
      <c r="A81" s="7"/>
      <c r="B81" s="8"/>
      <c r="C81" s="8"/>
      <c r="D81" s="8"/>
      <c r="E81" s="7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15.75" customHeight="1">
      <c r="A82" s="7"/>
      <c r="B82" s="8"/>
      <c r="C82" s="8"/>
      <c r="D82" s="8"/>
      <c r="E82" s="7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5.75" customHeight="1">
      <c r="A83" s="7"/>
      <c r="B83" s="8"/>
      <c r="C83" s="8"/>
      <c r="D83" s="8"/>
      <c r="E83" s="7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15.75" customHeight="1">
      <c r="A84" s="7"/>
      <c r="B84" s="8"/>
      <c r="C84" s="8"/>
      <c r="D84" s="8"/>
      <c r="E84" s="7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5.75" customHeight="1">
      <c r="A85" s="7"/>
      <c r="B85" s="8"/>
      <c r="C85" s="8"/>
      <c r="D85" s="8"/>
      <c r="E85" s="7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5.75" customHeight="1">
      <c r="A86" s="7"/>
      <c r="B86" s="8"/>
      <c r="C86" s="8"/>
      <c r="D86" s="8"/>
      <c r="E86" s="7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5.75" customHeight="1">
      <c r="A87" s="7"/>
      <c r="B87" s="8"/>
      <c r="C87" s="8"/>
      <c r="D87" s="8"/>
      <c r="E87" s="7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5.75" customHeight="1">
      <c r="A88" s="7"/>
      <c r="B88" s="8"/>
      <c r="C88" s="8"/>
      <c r="D88" s="8"/>
      <c r="E88" s="7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5.75" customHeight="1">
      <c r="A89" s="7"/>
      <c r="B89" s="8"/>
      <c r="C89" s="8"/>
      <c r="D89" s="8"/>
      <c r="E89" s="7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5.75" customHeight="1">
      <c r="A90" s="7"/>
      <c r="B90" s="8"/>
      <c r="C90" s="8"/>
      <c r="D90" s="8"/>
      <c r="E90" s="7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5.75" customHeight="1">
      <c r="A91" s="7"/>
      <c r="B91" s="8"/>
      <c r="C91" s="8"/>
      <c r="D91" s="8"/>
      <c r="E91" s="7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5.75" customHeight="1">
      <c r="A92" s="7"/>
      <c r="B92" s="8"/>
      <c r="C92" s="8"/>
      <c r="D92" s="8"/>
      <c r="E92" s="7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5.75" customHeight="1">
      <c r="A93" s="7"/>
      <c r="B93" s="8"/>
      <c r="C93" s="8"/>
      <c r="D93" s="8"/>
      <c r="E93" s="7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5.75" customHeight="1">
      <c r="A94" s="7"/>
      <c r="B94" s="8"/>
      <c r="C94" s="8"/>
      <c r="D94" s="8"/>
      <c r="E94" s="7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5.75" customHeight="1">
      <c r="A95" s="7"/>
      <c r="B95" s="8"/>
      <c r="C95" s="8"/>
      <c r="D95" s="8"/>
      <c r="E95" s="7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15.75" customHeight="1">
      <c r="A96" s="7"/>
      <c r="B96" s="8"/>
      <c r="C96" s="8"/>
      <c r="D96" s="8"/>
      <c r="E96" s="7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5.75" customHeight="1">
      <c r="A97" s="7"/>
      <c r="B97" s="8"/>
      <c r="C97" s="8"/>
      <c r="D97" s="8"/>
      <c r="E97" s="7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5.75" customHeight="1">
      <c r="A98" s="7"/>
      <c r="B98" s="8"/>
      <c r="C98" s="8"/>
      <c r="D98" s="8"/>
      <c r="E98" s="7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5.75" customHeight="1">
      <c r="A99" s="7"/>
      <c r="B99" s="8"/>
      <c r="C99" s="8"/>
      <c r="D99" s="8"/>
      <c r="E99" s="7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5.75" customHeight="1">
      <c r="A100" s="7"/>
      <c r="B100" s="8"/>
      <c r="C100" s="8"/>
      <c r="D100" s="8"/>
      <c r="E100" s="7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5.75" customHeight="1">
      <c r="A101" s="7"/>
      <c r="B101" s="8"/>
      <c r="C101" s="8"/>
      <c r="D101" s="8"/>
      <c r="E101" s="7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5.75" customHeight="1">
      <c r="A102" s="7"/>
      <c r="B102" s="8"/>
      <c r="C102" s="8"/>
      <c r="D102" s="8"/>
      <c r="E102" s="7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5.75" customHeight="1">
      <c r="A103" s="7"/>
      <c r="B103" s="8"/>
      <c r="C103" s="8"/>
      <c r="D103" s="8"/>
      <c r="E103" s="7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5.75" customHeight="1">
      <c r="A104" s="7"/>
      <c r="B104" s="8"/>
      <c r="C104" s="8"/>
      <c r="D104" s="8"/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5.75" customHeight="1">
      <c r="A105" s="7"/>
      <c r="B105" s="8"/>
      <c r="C105" s="8"/>
      <c r="D105" s="8"/>
      <c r="E105" s="7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5.75" customHeight="1">
      <c r="A106" s="7"/>
      <c r="B106" s="8"/>
      <c r="C106" s="8"/>
      <c r="D106" s="8"/>
      <c r="E106" s="7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5.75" customHeight="1">
      <c r="A107" s="7"/>
      <c r="B107" s="8"/>
      <c r="C107" s="8"/>
      <c r="D107" s="8"/>
      <c r="E107" s="7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5.75" customHeight="1">
      <c r="A108" s="7"/>
      <c r="B108" s="8"/>
      <c r="C108" s="8"/>
      <c r="D108" s="8"/>
      <c r="E108" s="7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5.75" customHeight="1">
      <c r="A109" s="7"/>
      <c r="B109" s="8"/>
      <c r="C109" s="8"/>
      <c r="D109" s="8"/>
      <c r="E109" s="7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5.75" customHeight="1">
      <c r="A110" s="7"/>
      <c r="B110" s="8"/>
      <c r="C110" s="8"/>
      <c r="D110" s="8"/>
      <c r="E110" s="7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15.75" customHeight="1">
      <c r="A111" s="7"/>
      <c r="B111" s="8"/>
      <c r="C111" s="8"/>
      <c r="D111" s="8"/>
      <c r="E111" s="7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5.75" customHeight="1">
      <c r="A112" s="7"/>
      <c r="B112" s="8"/>
      <c r="C112" s="8"/>
      <c r="D112" s="8"/>
      <c r="E112" s="7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5.75" customHeight="1">
      <c r="A113" s="7"/>
      <c r="B113" s="8"/>
      <c r="C113" s="8"/>
      <c r="D113" s="8"/>
      <c r="E113" s="7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5.75" customHeight="1">
      <c r="A114" s="7"/>
      <c r="B114" s="8"/>
      <c r="C114" s="8"/>
      <c r="D114" s="8"/>
      <c r="E114" s="7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5.75" customHeight="1">
      <c r="A115" s="7"/>
      <c r="B115" s="8"/>
      <c r="C115" s="8"/>
      <c r="D115" s="8"/>
      <c r="E115" s="7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5.75" customHeight="1">
      <c r="A116" s="7"/>
      <c r="B116" s="8"/>
      <c r="C116" s="8"/>
      <c r="D116" s="8"/>
      <c r="E116" s="7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5.75" customHeight="1">
      <c r="A117" s="7"/>
      <c r="B117" s="8"/>
      <c r="C117" s="8"/>
      <c r="D117" s="8"/>
      <c r="E117" s="7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5.75" customHeight="1">
      <c r="A118" s="7"/>
      <c r="B118" s="8"/>
      <c r="C118" s="8"/>
      <c r="D118" s="8"/>
      <c r="E118" s="7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5.75" customHeight="1">
      <c r="A119" s="7"/>
      <c r="B119" s="8"/>
      <c r="C119" s="8"/>
      <c r="D119" s="8"/>
      <c r="E119" s="7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5.75" customHeight="1">
      <c r="A120" s="7"/>
      <c r="B120" s="8"/>
      <c r="C120" s="8"/>
      <c r="D120" s="8"/>
      <c r="E120" s="7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15.75" customHeight="1">
      <c r="A121" s="7"/>
      <c r="B121" s="8"/>
      <c r="C121" s="8"/>
      <c r="D121" s="8"/>
      <c r="E121" s="7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15.75" customHeight="1">
      <c r="A122" s="7"/>
      <c r="B122" s="8"/>
      <c r="C122" s="8"/>
      <c r="D122" s="8"/>
      <c r="E122" s="7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5.75" customHeight="1">
      <c r="A123" s="7"/>
      <c r="B123" s="8"/>
      <c r="C123" s="8"/>
      <c r="D123" s="8"/>
      <c r="E123" s="7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5.75" customHeight="1">
      <c r="A124" s="7"/>
      <c r="B124" s="8"/>
      <c r="C124" s="8"/>
      <c r="D124" s="8"/>
      <c r="E124" s="7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15.75" customHeight="1">
      <c r="A125" s="7"/>
      <c r="B125" s="8"/>
      <c r="C125" s="8"/>
      <c r="D125" s="8"/>
      <c r="E125" s="7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5.75" customHeight="1">
      <c r="A126" s="7"/>
      <c r="B126" s="8"/>
      <c r="C126" s="8"/>
      <c r="D126" s="8"/>
      <c r="E126" s="7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5.75" customHeight="1">
      <c r="A127" s="7"/>
      <c r="B127" s="8"/>
      <c r="C127" s="8"/>
      <c r="D127" s="8"/>
      <c r="E127" s="7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5.75" customHeight="1">
      <c r="A128" s="7"/>
      <c r="B128" s="8"/>
      <c r="C128" s="8"/>
      <c r="D128" s="8"/>
      <c r="E128" s="7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5.75" customHeight="1">
      <c r="A129" s="7"/>
      <c r="B129" s="8"/>
      <c r="C129" s="8"/>
      <c r="D129" s="8"/>
      <c r="E129" s="7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5.75" customHeight="1">
      <c r="A130" s="7"/>
      <c r="B130" s="8"/>
      <c r="C130" s="8"/>
      <c r="D130" s="8"/>
      <c r="E130" s="7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15.75" customHeight="1">
      <c r="A131" s="7"/>
      <c r="B131" s="8"/>
      <c r="C131" s="8"/>
      <c r="D131" s="8"/>
      <c r="E131" s="7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5.75" customHeight="1">
      <c r="A132" s="7"/>
      <c r="B132" s="8"/>
      <c r="C132" s="8"/>
      <c r="D132" s="8"/>
      <c r="E132" s="7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5.75" customHeight="1">
      <c r="A133" s="7"/>
      <c r="B133" s="8"/>
      <c r="C133" s="8"/>
      <c r="D133" s="8"/>
      <c r="E133" s="7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5.75" customHeight="1">
      <c r="A134" s="7"/>
      <c r="B134" s="8"/>
      <c r="C134" s="8"/>
      <c r="D134" s="8"/>
      <c r="E134" s="7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15.75" customHeight="1">
      <c r="A135" s="7"/>
      <c r="B135" s="8"/>
      <c r="C135" s="8"/>
      <c r="D135" s="8"/>
      <c r="E135" s="7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5.75" customHeight="1">
      <c r="A136" s="7"/>
      <c r="B136" s="8"/>
      <c r="C136" s="8"/>
      <c r="D136" s="8"/>
      <c r="E136" s="7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5.75" customHeight="1">
      <c r="A137" s="7"/>
      <c r="B137" s="8"/>
      <c r="C137" s="8"/>
      <c r="D137" s="8"/>
      <c r="E137" s="7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5.75" customHeight="1">
      <c r="A138" s="7"/>
      <c r="B138" s="8"/>
      <c r="C138" s="8"/>
      <c r="D138" s="8"/>
      <c r="E138" s="7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5.75" customHeight="1">
      <c r="A139" s="7"/>
      <c r="B139" s="8"/>
      <c r="C139" s="8"/>
      <c r="D139" s="8"/>
      <c r="E139" s="7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5.75" customHeight="1">
      <c r="A140" s="7"/>
      <c r="B140" s="8"/>
      <c r="C140" s="8"/>
      <c r="D140" s="8"/>
      <c r="E140" s="7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5.75" customHeight="1">
      <c r="A141" s="7"/>
      <c r="B141" s="8"/>
      <c r="C141" s="8"/>
      <c r="D141" s="8"/>
      <c r="E141" s="7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15.75" customHeight="1">
      <c r="A142" s="7"/>
      <c r="B142" s="8"/>
      <c r="C142" s="8"/>
      <c r="D142" s="8"/>
      <c r="E142" s="7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5.75" customHeight="1">
      <c r="A143" s="7"/>
      <c r="B143" s="8"/>
      <c r="C143" s="8"/>
      <c r="D143" s="8"/>
      <c r="E143" s="7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5.75" customHeight="1">
      <c r="A144" s="7"/>
      <c r="B144" s="8"/>
      <c r="C144" s="8"/>
      <c r="D144" s="8"/>
      <c r="E144" s="7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5.75" customHeight="1">
      <c r="A145" s="7"/>
      <c r="B145" s="8"/>
      <c r="C145" s="8"/>
      <c r="D145" s="8"/>
      <c r="E145" s="7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5.75" customHeight="1">
      <c r="A146" s="7"/>
      <c r="B146" s="8"/>
      <c r="C146" s="8"/>
      <c r="D146" s="8"/>
      <c r="E146" s="7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5.75" customHeight="1">
      <c r="A147" s="7"/>
      <c r="B147" s="8"/>
      <c r="C147" s="8"/>
      <c r="D147" s="8"/>
      <c r="E147" s="7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5.75" customHeight="1">
      <c r="A148" s="7"/>
      <c r="B148" s="8"/>
      <c r="C148" s="8"/>
      <c r="D148" s="8"/>
      <c r="E148" s="7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5.75" customHeight="1">
      <c r="A149" s="7"/>
      <c r="B149" s="8"/>
      <c r="C149" s="8"/>
      <c r="D149" s="8"/>
      <c r="E149" s="7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5.75" customHeight="1">
      <c r="A150" s="7"/>
      <c r="B150" s="8"/>
      <c r="C150" s="8"/>
      <c r="D150" s="8"/>
      <c r="E150" s="7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5.75" customHeight="1">
      <c r="A151" s="7"/>
      <c r="B151" s="8"/>
      <c r="C151" s="8"/>
      <c r="D151" s="8"/>
      <c r="E151" s="7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5.75" customHeight="1">
      <c r="A152" s="7"/>
      <c r="B152" s="8"/>
      <c r="C152" s="8"/>
      <c r="D152" s="8"/>
      <c r="E152" s="7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5.75" customHeight="1">
      <c r="A153" s="7"/>
      <c r="B153" s="8"/>
      <c r="C153" s="8"/>
      <c r="D153" s="8"/>
      <c r="E153" s="7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5.75" customHeight="1">
      <c r="A154" s="7"/>
      <c r="B154" s="8"/>
      <c r="C154" s="8"/>
      <c r="D154" s="8"/>
      <c r="E154" s="7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5.75" customHeight="1">
      <c r="A155" s="7"/>
      <c r="B155" s="8"/>
      <c r="C155" s="8"/>
      <c r="D155" s="8"/>
      <c r="E155" s="7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5.75" customHeight="1">
      <c r="A156" s="7"/>
      <c r="B156" s="8"/>
      <c r="C156" s="8"/>
      <c r="D156" s="8"/>
      <c r="E156" s="7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5.75" customHeight="1">
      <c r="A157" s="7"/>
      <c r="B157" s="8"/>
      <c r="C157" s="8"/>
      <c r="D157" s="8"/>
      <c r="E157" s="7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5.75" customHeight="1">
      <c r="A158" s="7"/>
      <c r="B158" s="8"/>
      <c r="C158" s="8"/>
      <c r="D158" s="8"/>
      <c r="E158" s="7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5.75" customHeight="1">
      <c r="A159" s="7"/>
      <c r="B159" s="8"/>
      <c r="C159" s="8"/>
      <c r="D159" s="8"/>
      <c r="E159" s="7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5.75" customHeight="1">
      <c r="A160" s="7"/>
      <c r="B160" s="8"/>
      <c r="C160" s="8"/>
      <c r="D160" s="8"/>
      <c r="E160" s="7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5.75" customHeight="1">
      <c r="A161" s="7"/>
      <c r="B161" s="8"/>
      <c r="C161" s="8"/>
      <c r="D161" s="8"/>
      <c r="E161" s="7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5.75" customHeight="1">
      <c r="A162" s="7"/>
      <c r="B162" s="8"/>
      <c r="C162" s="8"/>
      <c r="D162" s="8"/>
      <c r="E162" s="7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5.75" customHeight="1">
      <c r="A163" s="7"/>
      <c r="B163" s="8"/>
      <c r="C163" s="8"/>
      <c r="D163" s="8"/>
      <c r="E163" s="7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5.75" customHeight="1">
      <c r="A164" s="7"/>
      <c r="B164" s="8"/>
      <c r="C164" s="8"/>
      <c r="D164" s="8"/>
      <c r="E164" s="7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5.75" customHeight="1">
      <c r="A165" s="7"/>
      <c r="B165" s="8"/>
      <c r="C165" s="8"/>
      <c r="D165" s="8"/>
      <c r="E165" s="7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5.75" customHeight="1">
      <c r="A166" s="7"/>
      <c r="B166" s="8"/>
      <c r="C166" s="8"/>
      <c r="D166" s="8"/>
      <c r="E166" s="7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5.75" customHeight="1">
      <c r="A167" s="7"/>
      <c r="B167" s="8"/>
      <c r="C167" s="8"/>
      <c r="D167" s="8"/>
      <c r="E167" s="7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5.75" customHeight="1">
      <c r="A168" s="7"/>
      <c r="B168" s="8"/>
      <c r="C168" s="8"/>
      <c r="D168" s="8"/>
      <c r="E168" s="7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5.75" customHeight="1">
      <c r="A169" s="7"/>
      <c r="B169" s="8"/>
      <c r="C169" s="8"/>
      <c r="D169" s="8"/>
      <c r="E169" s="7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5.75" customHeight="1">
      <c r="A170" s="7"/>
      <c r="B170" s="8"/>
      <c r="C170" s="8"/>
      <c r="D170" s="8"/>
      <c r="E170" s="7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5.75" customHeight="1">
      <c r="A171" s="7"/>
      <c r="B171" s="8"/>
      <c r="C171" s="8"/>
      <c r="D171" s="8"/>
      <c r="E171" s="7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5.75" customHeight="1">
      <c r="A172" s="7"/>
      <c r="B172" s="8"/>
      <c r="C172" s="8"/>
      <c r="D172" s="8"/>
      <c r="E172" s="7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5.75" customHeight="1">
      <c r="A173" s="7"/>
      <c r="B173" s="8"/>
      <c r="C173" s="8"/>
      <c r="D173" s="8"/>
      <c r="E173" s="7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5.75" customHeight="1">
      <c r="A174" s="7"/>
      <c r="B174" s="8"/>
      <c r="C174" s="8"/>
      <c r="D174" s="8"/>
      <c r="E174" s="7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5.75" customHeight="1">
      <c r="A175" s="7"/>
      <c r="B175" s="8"/>
      <c r="C175" s="8"/>
      <c r="D175" s="8"/>
      <c r="E175" s="7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5.75" customHeight="1">
      <c r="A176" s="7"/>
      <c r="B176" s="8"/>
      <c r="C176" s="8"/>
      <c r="D176" s="8"/>
      <c r="E176" s="7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5.75" customHeight="1">
      <c r="A177" s="7"/>
      <c r="B177" s="8"/>
      <c r="C177" s="8"/>
      <c r="D177" s="8"/>
      <c r="E177" s="7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5.75" customHeight="1">
      <c r="A178" s="7"/>
      <c r="B178" s="8"/>
      <c r="C178" s="8"/>
      <c r="D178" s="8"/>
      <c r="E178" s="7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5.75" customHeight="1">
      <c r="A179" s="7"/>
      <c r="B179" s="8"/>
      <c r="C179" s="8"/>
      <c r="D179" s="8"/>
      <c r="E179" s="7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5.75" customHeight="1">
      <c r="A180" s="7"/>
      <c r="B180" s="8"/>
      <c r="C180" s="8"/>
      <c r="D180" s="8"/>
      <c r="E180" s="7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5.75" customHeight="1">
      <c r="A181" s="7"/>
      <c r="B181" s="8"/>
      <c r="C181" s="8"/>
      <c r="D181" s="8"/>
      <c r="E181" s="7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5.75" customHeight="1">
      <c r="A182" s="7"/>
      <c r="B182" s="8"/>
      <c r="C182" s="8"/>
      <c r="D182" s="8"/>
      <c r="E182" s="7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5.75" customHeight="1">
      <c r="A183" s="7"/>
      <c r="B183" s="8"/>
      <c r="C183" s="8"/>
      <c r="D183" s="8"/>
      <c r="E183" s="7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5.75" customHeight="1">
      <c r="A184" s="7"/>
      <c r="B184" s="8"/>
      <c r="C184" s="8"/>
      <c r="D184" s="8"/>
      <c r="E184" s="7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5.75" customHeight="1">
      <c r="A185" s="7"/>
      <c r="B185" s="8"/>
      <c r="C185" s="8"/>
      <c r="D185" s="8"/>
      <c r="E185" s="7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5.75" customHeight="1">
      <c r="A186" s="7"/>
      <c r="B186" s="8"/>
      <c r="C186" s="8"/>
      <c r="D186" s="8"/>
      <c r="E186" s="7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5.75" customHeight="1">
      <c r="A187" s="7"/>
      <c r="B187" s="8"/>
      <c r="C187" s="8"/>
      <c r="D187" s="8"/>
      <c r="E187" s="7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5.75" customHeight="1">
      <c r="A188" s="7"/>
      <c r="B188" s="8"/>
      <c r="C188" s="8"/>
      <c r="D188" s="8"/>
      <c r="E188" s="7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5.75" customHeight="1">
      <c r="A189" s="7"/>
      <c r="B189" s="8"/>
      <c r="C189" s="8"/>
      <c r="D189" s="8"/>
      <c r="E189" s="7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5.75" customHeight="1">
      <c r="A190" s="7"/>
      <c r="B190" s="8"/>
      <c r="C190" s="8"/>
      <c r="D190" s="8"/>
      <c r="E190" s="7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5.75" customHeight="1">
      <c r="A191" s="7"/>
      <c r="B191" s="8"/>
      <c r="C191" s="8"/>
      <c r="D191" s="8"/>
      <c r="E191" s="7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5.75" customHeight="1">
      <c r="A192" s="7"/>
      <c r="B192" s="8"/>
      <c r="C192" s="8"/>
      <c r="D192" s="8"/>
      <c r="E192" s="7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5.75" customHeight="1">
      <c r="A193" s="7"/>
      <c r="B193" s="8"/>
      <c r="C193" s="8"/>
      <c r="D193" s="8"/>
      <c r="E193" s="7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5.75" customHeight="1">
      <c r="A194" s="7"/>
      <c r="B194" s="8"/>
      <c r="C194" s="8"/>
      <c r="D194" s="8"/>
      <c r="E194" s="7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5.75" customHeight="1">
      <c r="A195" s="7"/>
      <c r="B195" s="8"/>
      <c r="C195" s="8"/>
      <c r="D195" s="8"/>
      <c r="E195" s="7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5.75" customHeight="1">
      <c r="A196" s="7"/>
      <c r="B196" s="8"/>
      <c r="C196" s="8"/>
      <c r="D196" s="8"/>
      <c r="E196" s="7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5.75" customHeight="1">
      <c r="A197" s="7"/>
      <c r="B197" s="8"/>
      <c r="C197" s="8"/>
      <c r="D197" s="8"/>
      <c r="E197" s="7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5.75" customHeight="1">
      <c r="A198" s="7"/>
      <c r="B198" s="8"/>
      <c r="C198" s="8"/>
      <c r="D198" s="8"/>
      <c r="E198" s="7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5.75" customHeight="1">
      <c r="A199" s="7"/>
      <c r="B199" s="8"/>
      <c r="C199" s="8"/>
      <c r="D199" s="8"/>
      <c r="E199" s="7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5.75" customHeight="1">
      <c r="A200" s="7"/>
      <c r="B200" s="8"/>
      <c r="C200" s="8"/>
      <c r="D200" s="8"/>
      <c r="E200" s="7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5.75" customHeight="1">
      <c r="A201" s="7"/>
      <c r="B201" s="8"/>
      <c r="C201" s="8"/>
      <c r="D201" s="8"/>
      <c r="E201" s="7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5.75" customHeight="1">
      <c r="A202" s="7"/>
      <c r="B202" s="8"/>
      <c r="C202" s="8"/>
      <c r="D202" s="8"/>
      <c r="E202" s="7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5.75" customHeight="1">
      <c r="A203" s="7"/>
      <c r="B203" s="8"/>
      <c r="C203" s="8"/>
      <c r="D203" s="8"/>
      <c r="E203" s="7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5.75" customHeight="1">
      <c r="A204" s="7"/>
      <c r="B204" s="8"/>
      <c r="C204" s="8"/>
      <c r="D204" s="8"/>
      <c r="E204" s="7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5.75" customHeight="1">
      <c r="A205" s="7"/>
      <c r="B205" s="8"/>
      <c r="C205" s="8"/>
      <c r="D205" s="8"/>
      <c r="E205" s="7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5.75" customHeight="1">
      <c r="A206" s="7"/>
      <c r="B206" s="8"/>
      <c r="C206" s="8"/>
      <c r="D206" s="8"/>
      <c r="E206" s="7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5.75" customHeight="1">
      <c r="A207" s="7"/>
      <c r="B207" s="8"/>
      <c r="C207" s="8"/>
      <c r="D207" s="8"/>
      <c r="E207" s="7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5.75" customHeight="1">
      <c r="A208" s="7"/>
      <c r="B208" s="8"/>
      <c r="C208" s="8"/>
      <c r="D208" s="8"/>
      <c r="E208" s="7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5.75" customHeight="1">
      <c r="A209" s="7"/>
      <c r="B209" s="8"/>
      <c r="C209" s="8"/>
      <c r="D209" s="8"/>
      <c r="E209" s="7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5.75" customHeight="1">
      <c r="A210" s="7"/>
      <c r="B210" s="8"/>
      <c r="C210" s="8"/>
      <c r="D210" s="8"/>
      <c r="E210" s="7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5.75" customHeight="1">
      <c r="A211" s="7"/>
      <c r="B211" s="8"/>
      <c r="C211" s="8"/>
      <c r="D211" s="8"/>
      <c r="E211" s="7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5.75" customHeight="1">
      <c r="A212" s="7"/>
      <c r="B212" s="8"/>
      <c r="C212" s="8"/>
      <c r="D212" s="8"/>
      <c r="E212" s="7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5.75" customHeight="1">
      <c r="A213" s="7"/>
      <c r="B213" s="8"/>
      <c r="C213" s="8"/>
      <c r="D213" s="8"/>
      <c r="E213" s="7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5.75" customHeight="1">
      <c r="A214" s="7"/>
      <c r="B214" s="8"/>
      <c r="C214" s="8"/>
      <c r="D214" s="8"/>
      <c r="E214" s="7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5.75" customHeight="1">
      <c r="A215" s="7"/>
      <c r="B215" s="8"/>
      <c r="C215" s="8"/>
      <c r="D215" s="8"/>
      <c r="E215" s="7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A216" s="7"/>
      <c r="B216" s="8"/>
      <c r="C216" s="8"/>
      <c r="D216" s="8"/>
      <c r="E216" s="7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A217" s="7"/>
      <c r="B217" s="8"/>
      <c r="C217" s="8"/>
      <c r="D217" s="8"/>
      <c r="E217" s="7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A218" s="7"/>
      <c r="B218" s="8"/>
      <c r="C218" s="8"/>
      <c r="D218" s="8"/>
      <c r="E218" s="7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A219" s="7"/>
      <c r="B219" s="8"/>
      <c r="C219" s="8"/>
      <c r="D219" s="8"/>
      <c r="E219" s="7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A220" s="7"/>
      <c r="B220" s="8"/>
      <c r="C220" s="8"/>
      <c r="D220" s="8"/>
      <c r="E220" s="7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35C65D1-CE59-4AA2-8C12-BEE4447C096F}" filter="1" showAutoFilter="1">
      <autoFilter ref="$B$1:$F$1"/>
    </customSheetView>
    <customSheetView guid="{261B74FD-1197-4846-9390-4440FE21FCAE}" filter="1" showAutoFilter="1">
      <autoFilter ref="$B$1:$F$1"/>
    </customSheetView>
    <customSheetView guid="{5F1551B2-EEF3-45DA-A017-BE16EE9F8BFE}" filter="1" showAutoFilter="1">
      <autoFilter ref="$B$1:$F$1"/>
    </customSheetView>
    <customSheetView guid="{2A420747-F08F-46F4-A71A-FA0890B7BFAA}" filter="1" showAutoFilter="1">
      <autoFilter ref="$A$10:$G$20"/>
    </customSheetView>
  </customSheetViews>
  <mergeCells count="1">
    <mergeCell ref="A2:F2"/>
  </mergeCells>
  <printOptions/>
  <pageMargins bottom="1.0" footer="0.0" header="0.0" left="0.75" right="0.75" top="1.0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6.88"/>
    <col customWidth="1" min="3" max="3" width="33.88"/>
    <col customWidth="1" min="4" max="4" width="21.13"/>
    <col customWidth="1" min="5" max="5" width="10.38"/>
    <col customWidth="1" min="6" max="26" width="11.38"/>
  </cols>
  <sheetData>
    <row r="1" ht="12.75" customHeight="1">
      <c r="A1" s="19"/>
      <c r="B1" s="19"/>
      <c r="C1" s="21"/>
      <c r="D1" s="21"/>
      <c r="E1" s="22"/>
      <c r="F1" s="22"/>
      <c r="G1" s="22"/>
      <c r="H1" s="22"/>
      <c r="I1" s="22"/>
      <c r="J1" s="22"/>
      <c r="K1" s="22"/>
      <c r="L1" s="22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43.5" customHeight="1">
      <c r="A2" s="26" t="str">
        <f>CONCATENATE("Sprint #",E5, "Tracking Sheet")</f>
        <v>Sprint #1Tracking Sheet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2.75" customHeight="1">
      <c r="A3" s="19"/>
      <c r="B3" s="19"/>
      <c r="C3" s="21"/>
      <c r="D3" s="21"/>
      <c r="E3" s="22"/>
      <c r="F3" s="22"/>
      <c r="G3" s="22"/>
      <c r="H3" s="22"/>
      <c r="I3" s="22"/>
      <c r="J3" s="22"/>
      <c r="K3" s="22"/>
      <c r="L3" s="22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2.75" customHeight="1">
      <c r="A4" s="29"/>
      <c r="B4" s="19"/>
      <c r="C4" s="31" t="s">
        <v>5</v>
      </c>
      <c r="D4" s="32"/>
      <c r="E4" s="33" t="s">
        <v>6</v>
      </c>
      <c r="F4" s="34"/>
      <c r="G4" s="34"/>
      <c r="H4" s="34"/>
      <c r="I4" s="34"/>
      <c r="J4" s="35"/>
      <c r="K4" s="22"/>
      <c r="L4" s="22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2.75" customHeight="1">
      <c r="A5" s="19"/>
      <c r="B5" s="19"/>
      <c r="C5" s="36" t="s">
        <v>19</v>
      </c>
      <c r="D5" s="36"/>
      <c r="E5" s="37">
        <v>1.0</v>
      </c>
      <c r="F5" s="22"/>
      <c r="G5" s="22"/>
      <c r="H5" s="22"/>
      <c r="I5" s="22"/>
      <c r="J5" s="22"/>
      <c r="K5" s="22"/>
      <c r="L5" s="22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2.75" customHeight="1">
      <c r="A6" s="19"/>
      <c r="B6" s="19"/>
      <c r="C6" s="36" t="s">
        <v>36</v>
      </c>
      <c r="D6" s="36"/>
      <c r="E6" s="39">
        <v>46271.0</v>
      </c>
      <c r="F6" s="22"/>
      <c r="G6" s="22"/>
      <c r="H6" s="22"/>
      <c r="I6" s="22"/>
      <c r="J6" s="22"/>
      <c r="K6" s="22"/>
      <c r="L6" s="22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2.75" customHeight="1">
      <c r="A7" s="19"/>
      <c r="B7" s="19"/>
      <c r="C7" s="40"/>
      <c r="D7" s="36" t="s">
        <v>39</v>
      </c>
      <c r="E7" s="37">
        <v>1.0</v>
      </c>
      <c r="F7" s="22"/>
      <c r="G7" s="22"/>
      <c r="H7" s="22"/>
      <c r="I7" s="22"/>
      <c r="J7" s="22"/>
      <c r="K7" s="22"/>
      <c r="L7" s="22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2.75" customHeight="1">
      <c r="A8" s="19"/>
      <c r="B8" s="19"/>
      <c r="C8" s="21"/>
      <c r="D8" s="21"/>
      <c r="E8" s="22"/>
      <c r="F8" s="41" t="s">
        <v>41</v>
      </c>
      <c r="G8" s="42"/>
      <c r="H8" s="42"/>
      <c r="I8" s="42"/>
      <c r="J8" s="42"/>
      <c r="K8" s="42"/>
      <c r="L8" s="43"/>
      <c r="M8" s="41" t="s">
        <v>44</v>
      </c>
      <c r="N8" s="42"/>
      <c r="O8" s="42"/>
      <c r="P8" s="42"/>
      <c r="Q8" s="42"/>
      <c r="R8" s="42"/>
      <c r="S8" s="43"/>
      <c r="T8" s="19"/>
      <c r="U8" s="19"/>
      <c r="V8" s="19"/>
      <c r="W8" s="19"/>
      <c r="X8" s="19"/>
      <c r="Y8" s="19"/>
      <c r="Z8" s="19"/>
    </row>
    <row r="9" ht="12.75" customHeight="1">
      <c r="A9" s="19"/>
      <c r="B9" s="19"/>
      <c r="C9" s="21"/>
      <c r="D9" s="21"/>
      <c r="E9" s="22"/>
      <c r="F9" s="44">
        <v>1.0</v>
      </c>
      <c r="G9" s="45">
        <v>2.0</v>
      </c>
      <c r="H9" s="44">
        <v>3.0</v>
      </c>
      <c r="I9" s="45">
        <v>4.0</v>
      </c>
      <c r="J9" s="44">
        <v>5.0</v>
      </c>
      <c r="K9" s="45">
        <v>6.0</v>
      </c>
      <c r="L9" s="44">
        <v>7.0</v>
      </c>
      <c r="M9" s="45">
        <v>8.0</v>
      </c>
      <c r="N9" s="44">
        <v>9.0</v>
      </c>
      <c r="O9" s="45">
        <v>10.0</v>
      </c>
      <c r="P9" s="44">
        <v>11.0</v>
      </c>
      <c r="Q9" s="45">
        <v>12.0</v>
      </c>
      <c r="R9" s="44">
        <v>13.0</v>
      </c>
      <c r="S9" s="45">
        <v>14.0</v>
      </c>
      <c r="T9" s="19"/>
      <c r="U9" s="19"/>
      <c r="V9" s="19"/>
      <c r="W9" s="19"/>
      <c r="X9" s="19"/>
      <c r="Y9" s="19"/>
      <c r="Z9" s="19"/>
    </row>
    <row r="10" ht="27.0" customHeight="1">
      <c r="A10" s="46" t="s">
        <v>48</v>
      </c>
      <c r="B10" s="47" t="s">
        <v>49</v>
      </c>
      <c r="C10" s="48" t="s">
        <v>16</v>
      </c>
      <c r="D10" s="49" t="s">
        <v>20</v>
      </c>
      <c r="E10" s="50" t="s">
        <v>50</v>
      </c>
      <c r="F10" s="51">
        <f>E6</f>
        <v>46271</v>
      </c>
      <c r="G10" s="52">
        <f t="shared" ref="G10:S10" si="1">F10+1</f>
        <v>46272</v>
      </c>
      <c r="H10" s="52">
        <f t="shared" si="1"/>
        <v>46273</v>
      </c>
      <c r="I10" s="52">
        <f t="shared" si="1"/>
        <v>46274</v>
      </c>
      <c r="J10" s="52">
        <f t="shared" si="1"/>
        <v>46275</v>
      </c>
      <c r="K10" s="52">
        <f t="shared" si="1"/>
        <v>46276</v>
      </c>
      <c r="L10" s="52">
        <f t="shared" si="1"/>
        <v>46277</v>
      </c>
      <c r="M10" s="52">
        <f t="shared" si="1"/>
        <v>46278</v>
      </c>
      <c r="N10" s="52">
        <f t="shared" si="1"/>
        <v>46279</v>
      </c>
      <c r="O10" s="52">
        <f t="shared" si="1"/>
        <v>46280</v>
      </c>
      <c r="P10" s="52">
        <f t="shared" si="1"/>
        <v>46281</v>
      </c>
      <c r="Q10" s="52">
        <f t="shared" si="1"/>
        <v>46282</v>
      </c>
      <c r="R10" s="52">
        <f t="shared" si="1"/>
        <v>46283</v>
      </c>
      <c r="S10" s="52">
        <f t="shared" si="1"/>
        <v>46284</v>
      </c>
      <c r="T10" s="40"/>
      <c r="U10" s="40"/>
      <c r="V10" s="40"/>
      <c r="W10" s="40"/>
      <c r="X10" s="40"/>
      <c r="Y10" s="40"/>
      <c r="Z10" s="40"/>
    </row>
    <row r="11" ht="12.75" customHeight="1">
      <c r="A11" s="53" t="s">
        <v>59</v>
      </c>
      <c r="B11" s="37" t="s">
        <v>21</v>
      </c>
      <c r="C11" s="54" t="s">
        <v>62</v>
      </c>
      <c r="D11" s="55"/>
      <c r="E11" s="56">
        <v>8.0</v>
      </c>
      <c r="F11" s="57"/>
      <c r="G11" s="57"/>
      <c r="H11" s="57"/>
      <c r="I11" s="57"/>
      <c r="J11" s="58"/>
      <c r="K11" s="58"/>
      <c r="L11" s="58"/>
      <c r="M11" s="57"/>
      <c r="N11" s="57"/>
      <c r="O11" s="57"/>
      <c r="P11" s="57"/>
      <c r="Q11" s="58"/>
      <c r="R11" s="58"/>
      <c r="S11" s="58"/>
      <c r="T11" s="19"/>
      <c r="U11" s="19"/>
      <c r="V11" s="19"/>
      <c r="W11" s="19"/>
      <c r="X11" s="19"/>
      <c r="Y11" s="19"/>
      <c r="Z11" s="19"/>
    </row>
    <row r="12" ht="12.75" customHeight="1">
      <c r="A12" s="53" t="s">
        <v>66</v>
      </c>
      <c r="B12" s="37" t="s">
        <v>21</v>
      </c>
      <c r="C12" s="54" t="s">
        <v>70</v>
      </c>
      <c r="D12" s="55"/>
      <c r="E12" s="56">
        <v>12.0</v>
      </c>
      <c r="F12" s="57"/>
      <c r="G12" s="57"/>
      <c r="H12" s="57"/>
      <c r="I12" s="57"/>
      <c r="J12" s="58"/>
      <c r="K12" s="58"/>
      <c r="L12" s="58"/>
      <c r="M12" s="57"/>
      <c r="N12" s="57"/>
      <c r="O12" s="57"/>
      <c r="P12" s="57"/>
      <c r="Q12" s="58"/>
      <c r="R12" s="58"/>
      <c r="S12" s="58"/>
      <c r="T12" s="19"/>
      <c r="U12" s="19"/>
      <c r="V12" s="19"/>
      <c r="W12" s="19"/>
      <c r="X12" s="19"/>
      <c r="Y12" s="19"/>
      <c r="Z12" s="19"/>
    </row>
    <row r="13" ht="12.75" customHeight="1">
      <c r="A13" s="53" t="s">
        <v>72</v>
      </c>
      <c r="B13" s="37" t="s">
        <v>21</v>
      </c>
      <c r="C13" s="54" t="s">
        <v>75</v>
      </c>
      <c r="D13" s="55"/>
      <c r="E13" s="56">
        <v>8.0</v>
      </c>
      <c r="F13" s="57"/>
      <c r="G13" s="58"/>
      <c r="H13" s="58"/>
      <c r="I13" s="58"/>
      <c r="J13" s="58"/>
      <c r="K13" s="58"/>
      <c r="L13" s="58"/>
      <c r="M13" s="57"/>
      <c r="N13" s="58"/>
      <c r="O13" s="58"/>
      <c r="P13" s="58"/>
      <c r="Q13" s="58"/>
      <c r="R13" s="58"/>
      <c r="S13" s="58"/>
      <c r="T13" s="19"/>
      <c r="U13" s="19"/>
      <c r="V13" s="19"/>
      <c r="W13" s="19"/>
      <c r="X13" s="19"/>
      <c r="Y13" s="19"/>
      <c r="Z13" s="19"/>
    </row>
    <row r="14" ht="12.75" customHeight="1">
      <c r="A14" s="53" t="s">
        <v>76</v>
      </c>
      <c r="B14" s="37" t="s">
        <v>30</v>
      </c>
      <c r="C14" s="54" t="s">
        <v>80</v>
      </c>
      <c r="D14" s="55"/>
      <c r="E14" s="56">
        <v>10.0</v>
      </c>
      <c r="F14" s="57"/>
      <c r="G14" s="58"/>
      <c r="H14" s="58"/>
      <c r="I14" s="58"/>
      <c r="J14" s="58"/>
      <c r="K14" s="58"/>
      <c r="L14" s="58"/>
      <c r="M14" s="57"/>
      <c r="N14" s="58"/>
      <c r="O14" s="58"/>
      <c r="P14" s="58"/>
      <c r="Q14" s="58"/>
      <c r="R14" s="58"/>
      <c r="S14" s="58"/>
      <c r="T14" s="19"/>
      <c r="U14" s="19"/>
      <c r="V14" s="19"/>
      <c r="W14" s="19"/>
      <c r="X14" s="19"/>
      <c r="Y14" s="19"/>
      <c r="Z14" s="19"/>
    </row>
    <row r="15" ht="12.75" customHeight="1">
      <c r="A15" s="53" t="s">
        <v>78</v>
      </c>
      <c r="B15" s="37" t="s">
        <v>30</v>
      </c>
      <c r="C15" s="54" t="s">
        <v>85</v>
      </c>
      <c r="D15" s="55"/>
      <c r="E15" s="56">
        <v>8.0</v>
      </c>
      <c r="F15" s="57"/>
      <c r="G15" s="58"/>
      <c r="H15" s="58"/>
      <c r="I15" s="58"/>
      <c r="J15" s="58"/>
      <c r="K15" s="58"/>
      <c r="L15" s="58"/>
      <c r="M15" s="57"/>
      <c r="N15" s="58"/>
      <c r="O15" s="58"/>
      <c r="P15" s="58"/>
      <c r="Q15" s="58"/>
      <c r="R15" s="58"/>
      <c r="S15" s="58"/>
      <c r="T15" s="19"/>
      <c r="U15" s="19"/>
      <c r="V15" s="19"/>
      <c r="W15" s="19"/>
      <c r="X15" s="19"/>
      <c r="Y15" s="19"/>
      <c r="Z15" s="19"/>
    </row>
    <row r="16" ht="12.75" customHeight="1">
      <c r="A16" s="53" t="s">
        <v>81</v>
      </c>
      <c r="B16" s="37" t="s">
        <v>30</v>
      </c>
      <c r="C16" s="54" t="s">
        <v>88</v>
      </c>
      <c r="D16" s="55"/>
      <c r="E16" s="56">
        <v>6.0</v>
      </c>
      <c r="F16" s="57"/>
      <c r="G16" s="58"/>
      <c r="H16" s="58"/>
      <c r="I16" s="58"/>
      <c r="J16" s="58"/>
      <c r="K16" s="58"/>
      <c r="L16" s="58"/>
      <c r="M16" s="57"/>
      <c r="N16" s="58"/>
      <c r="O16" s="58"/>
      <c r="P16" s="58"/>
      <c r="Q16" s="58"/>
      <c r="R16" s="58"/>
      <c r="S16" s="58"/>
      <c r="T16" s="19"/>
      <c r="U16" s="19"/>
      <c r="V16" s="19"/>
      <c r="W16" s="19"/>
      <c r="X16" s="19"/>
      <c r="Y16" s="19"/>
      <c r="Z16" s="19"/>
    </row>
    <row r="17" ht="12.75" customHeight="1">
      <c r="A17" s="53" t="s">
        <v>83</v>
      </c>
      <c r="B17" s="37" t="s">
        <v>34</v>
      </c>
      <c r="C17" s="59" t="s">
        <v>91</v>
      </c>
      <c r="D17" s="60"/>
      <c r="E17" s="56">
        <v>6.0</v>
      </c>
      <c r="F17" s="57"/>
      <c r="G17" s="61"/>
      <c r="H17" s="61"/>
      <c r="I17" s="61"/>
      <c r="J17" s="61"/>
      <c r="K17" s="61"/>
      <c r="L17" s="61"/>
      <c r="M17" s="57"/>
      <c r="N17" s="61"/>
      <c r="O17" s="61"/>
      <c r="P17" s="61"/>
      <c r="Q17" s="61"/>
      <c r="R17" s="61"/>
      <c r="S17" s="61"/>
      <c r="T17" s="19"/>
      <c r="U17" s="19"/>
      <c r="V17" s="19"/>
      <c r="W17" s="19"/>
      <c r="X17" s="19"/>
      <c r="Y17" s="19"/>
      <c r="Z17" s="19"/>
    </row>
    <row r="18" ht="12.75" customHeight="1">
      <c r="A18" s="62" t="s">
        <v>86</v>
      </c>
      <c r="B18" s="63" t="s">
        <v>34</v>
      </c>
      <c r="C18" s="64" t="s">
        <v>96</v>
      </c>
      <c r="D18" s="65"/>
      <c r="E18" s="66">
        <v>4.0</v>
      </c>
      <c r="F18" s="67"/>
      <c r="G18" s="68"/>
      <c r="H18" s="68"/>
      <c r="I18" s="68"/>
      <c r="J18" s="68"/>
      <c r="K18" s="68"/>
      <c r="L18" s="68"/>
      <c r="M18" s="67"/>
      <c r="N18" s="68"/>
      <c r="O18" s="68"/>
      <c r="P18" s="68"/>
      <c r="Q18" s="68"/>
      <c r="R18" s="68"/>
      <c r="S18" s="68"/>
      <c r="T18" s="19"/>
      <c r="U18" s="19"/>
      <c r="V18" s="19"/>
      <c r="W18" s="19"/>
      <c r="X18" s="19"/>
      <c r="Y18" s="19"/>
      <c r="Z18" s="19"/>
    </row>
    <row r="19" ht="12.75" customHeight="1">
      <c r="A19" s="62" t="s">
        <v>89</v>
      </c>
      <c r="B19" s="63" t="s">
        <v>34</v>
      </c>
      <c r="C19" s="69" t="s">
        <v>100</v>
      </c>
      <c r="D19" s="70"/>
      <c r="E19" s="71">
        <v>4.0</v>
      </c>
      <c r="F19" s="67"/>
      <c r="G19" s="68"/>
      <c r="H19" s="68"/>
      <c r="I19" s="68"/>
      <c r="J19" s="68"/>
      <c r="K19" s="68"/>
      <c r="L19" s="68"/>
      <c r="M19" s="67"/>
      <c r="N19" s="68"/>
      <c r="O19" s="68"/>
      <c r="P19" s="68"/>
      <c r="Q19" s="68"/>
      <c r="R19" s="68"/>
      <c r="S19" s="68"/>
      <c r="T19" s="19"/>
      <c r="U19" s="19"/>
      <c r="V19" s="19"/>
      <c r="W19" s="19"/>
      <c r="X19" s="19"/>
      <c r="Y19" s="19"/>
      <c r="Z19" s="19"/>
    </row>
    <row r="20" ht="12.75" customHeight="1">
      <c r="A20" s="62" t="s">
        <v>92</v>
      </c>
      <c r="B20" s="63" t="s">
        <v>43</v>
      </c>
      <c r="C20" s="69" t="s">
        <v>105</v>
      </c>
      <c r="D20" s="70"/>
      <c r="E20" s="71">
        <v>6.0</v>
      </c>
      <c r="F20" s="67"/>
      <c r="G20" s="68"/>
      <c r="H20" s="68"/>
      <c r="I20" s="68"/>
      <c r="J20" s="68"/>
      <c r="K20" s="68"/>
      <c r="L20" s="68"/>
      <c r="M20" s="67"/>
      <c r="N20" s="68"/>
      <c r="O20" s="68"/>
      <c r="P20" s="68"/>
      <c r="Q20" s="68"/>
      <c r="R20" s="68"/>
      <c r="S20" s="68"/>
      <c r="T20" s="19"/>
      <c r="U20" s="19"/>
      <c r="V20" s="19"/>
      <c r="W20" s="19"/>
      <c r="X20" s="19"/>
      <c r="Y20" s="19"/>
      <c r="Z20" s="19"/>
    </row>
    <row r="21" ht="12.75" customHeight="1">
      <c r="A21" s="62" t="s">
        <v>94</v>
      </c>
      <c r="B21" s="63" t="s">
        <v>43</v>
      </c>
      <c r="C21" s="69" t="s">
        <v>109</v>
      </c>
      <c r="D21" s="70"/>
      <c r="E21" s="71">
        <v>6.0</v>
      </c>
      <c r="F21" s="67"/>
      <c r="G21" s="68"/>
      <c r="H21" s="68"/>
      <c r="I21" s="68"/>
      <c r="J21" s="68"/>
      <c r="K21" s="68"/>
      <c r="L21" s="68"/>
      <c r="M21" s="67"/>
      <c r="N21" s="68"/>
      <c r="O21" s="68"/>
      <c r="P21" s="68"/>
      <c r="Q21" s="68"/>
      <c r="R21" s="68"/>
      <c r="S21" s="68"/>
      <c r="T21" s="19"/>
      <c r="U21" s="19"/>
      <c r="V21" s="19"/>
      <c r="W21" s="19"/>
      <c r="X21" s="19"/>
      <c r="Y21" s="19"/>
      <c r="Z21" s="19"/>
    </row>
    <row r="22" ht="12.75" customHeight="1">
      <c r="A22" s="62" t="s">
        <v>97</v>
      </c>
      <c r="B22" s="63" t="s">
        <v>98</v>
      </c>
      <c r="C22" s="69" t="s">
        <v>110</v>
      </c>
      <c r="D22" s="70"/>
      <c r="E22" s="71">
        <v>2.0</v>
      </c>
      <c r="F22" s="67"/>
      <c r="G22" s="68"/>
      <c r="H22" s="68"/>
      <c r="I22" s="68"/>
      <c r="J22" s="68"/>
      <c r="K22" s="68"/>
      <c r="L22" s="68"/>
      <c r="M22" s="67"/>
      <c r="N22" s="68"/>
      <c r="O22" s="68"/>
      <c r="P22" s="68"/>
      <c r="Q22" s="68"/>
      <c r="R22" s="68"/>
      <c r="S22" s="68"/>
      <c r="T22" s="19"/>
      <c r="U22" s="19"/>
      <c r="V22" s="19"/>
      <c r="W22" s="19"/>
      <c r="X22" s="19"/>
      <c r="Y22" s="19"/>
      <c r="Z22" s="19"/>
    </row>
    <row r="23" ht="12.75" customHeight="1">
      <c r="A23" s="62" t="s">
        <v>101</v>
      </c>
      <c r="B23" s="63" t="s">
        <v>98</v>
      </c>
      <c r="C23" s="69" t="s">
        <v>102</v>
      </c>
      <c r="D23" s="70"/>
      <c r="E23" s="71">
        <v>5.0</v>
      </c>
      <c r="F23" s="67"/>
      <c r="G23" s="68"/>
      <c r="H23" s="68"/>
      <c r="I23" s="68"/>
      <c r="J23" s="68"/>
      <c r="K23" s="68"/>
      <c r="L23" s="68"/>
      <c r="M23" s="67"/>
      <c r="N23" s="68"/>
      <c r="O23" s="68"/>
      <c r="P23" s="68"/>
      <c r="Q23" s="68"/>
      <c r="R23" s="68"/>
      <c r="S23" s="68"/>
      <c r="T23" s="19"/>
      <c r="U23" s="19"/>
      <c r="V23" s="19"/>
      <c r="W23" s="19"/>
      <c r="X23" s="19"/>
      <c r="Y23" s="19"/>
      <c r="Z23" s="19"/>
    </row>
    <row r="24" ht="12.75" customHeight="1">
      <c r="A24" s="62" t="s">
        <v>103</v>
      </c>
      <c r="B24" s="63" t="s">
        <v>98</v>
      </c>
      <c r="C24" s="69" t="s">
        <v>112</v>
      </c>
      <c r="D24" s="70"/>
      <c r="E24" s="71">
        <v>8.0</v>
      </c>
      <c r="F24" s="67"/>
      <c r="G24" s="68"/>
      <c r="H24" s="68"/>
      <c r="I24" s="68"/>
      <c r="J24" s="68"/>
      <c r="K24" s="68"/>
      <c r="L24" s="68"/>
      <c r="M24" s="67"/>
      <c r="N24" s="68"/>
      <c r="O24" s="68"/>
      <c r="P24" s="68"/>
      <c r="Q24" s="68"/>
      <c r="R24" s="68"/>
      <c r="S24" s="68"/>
      <c r="T24" s="19"/>
      <c r="U24" s="19"/>
      <c r="V24" s="19"/>
      <c r="W24" s="19"/>
      <c r="X24" s="19"/>
      <c r="Y24" s="19"/>
      <c r="Z24" s="19"/>
    </row>
    <row r="25" ht="12.75" customHeight="1">
      <c r="A25" s="62" t="s">
        <v>106</v>
      </c>
      <c r="B25" s="63" t="s">
        <v>98</v>
      </c>
      <c r="C25" s="69" t="s">
        <v>113</v>
      </c>
      <c r="D25" s="70"/>
      <c r="E25" s="71">
        <v>2.0</v>
      </c>
      <c r="F25" s="67"/>
      <c r="G25" s="68"/>
      <c r="H25" s="68"/>
      <c r="I25" s="68"/>
      <c r="J25" s="68"/>
      <c r="K25" s="68"/>
      <c r="L25" s="68"/>
      <c r="M25" s="67"/>
      <c r="N25" s="68"/>
      <c r="O25" s="68"/>
      <c r="P25" s="68"/>
      <c r="Q25" s="68"/>
      <c r="R25" s="68"/>
      <c r="S25" s="68"/>
      <c r="T25" s="19"/>
      <c r="U25" s="19"/>
      <c r="V25" s="19"/>
      <c r="W25" s="19"/>
      <c r="X25" s="19"/>
      <c r="Y25" s="19"/>
      <c r="Z25" s="19"/>
    </row>
    <row r="26" ht="12.75" customHeight="1">
      <c r="A26" s="62" t="s">
        <v>114</v>
      </c>
      <c r="B26" s="63" t="s">
        <v>98</v>
      </c>
      <c r="C26" s="69" t="s">
        <v>115</v>
      </c>
      <c r="D26" s="70"/>
      <c r="E26" s="71">
        <v>1.0</v>
      </c>
      <c r="F26" s="67"/>
      <c r="G26" s="68"/>
      <c r="H26" s="68"/>
      <c r="I26" s="68"/>
      <c r="J26" s="68"/>
      <c r="K26" s="68"/>
      <c r="L26" s="68"/>
      <c r="M26" s="67"/>
      <c r="N26" s="68"/>
      <c r="O26" s="68"/>
      <c r="P26" s="68"/>
      <c r="Q26" s="68"/>
      <c r="R26" s="68"/>
      <c r="S26" s="68"/>
      <c r="T26" s="19"/>
      <c r="U26" s="19"/>
      <c r="V26" s="19"/>
      <c r="W26" s="19"/>
      <c r="X26" s="19"/>
      <c r="Y26" s="19"/>
      <c r="Z26" s="19"/>
    </row>
    <row r="27" ht="12.75" customHeight="1">
      <c r="A27" s="79"/>
      <c r="B27" s="79"/>
      <c r="C27" s="79"/>
      <c r="D27" s="80"/>
      <c r="E27" s="79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 ht="12.75" customHeight="1">
      <c r="A28" s="19"/>
      <c r="B28" s="19"/>
      <c r="C28" s="72" t="s">
        <v>108</v>
      </c>
      <c r="D28" s="73"/>
      <c r="E28" s="74">
        <f>8*2*E7</f>
        <v>16</v>
      </c>
      <c r="F28" s="75" t="str">
        <f>IF(SUM(F11:F26)&gt;0,E28-SUM(F11:F26),NA())</f>
        <v>#N/A</v>
      </c>
      <c r="G28" s="75" t="str">
        <f t="shared" ref="G28:H28" si="2">IF(SUM(G11:G26)&gt;0,E28-SUM(F11:G26),NA())</f>
        <v>#N/A</v>
      </c>
      <c r="H28" s="75" t="str">
        <f t="shared" si="2"/>
        <v>#N/A</v>
      </c>
      <c r="I28" s="75" t="str">
        <f>IF(SUM(I11:I26)&gt;0,E28-SUM(F11:I26),NA())</f>
        <v>#N/A</v>
      </c>
      <c r="J28" s="75" t="str">
        <f>IF(SUM(J11:J26)&gt;0,E28-SUM(F11:J26),NA())</f>
        <v>#N/A</v>
      </c>
      <c r="K28" s="75" t="str">
        <f>IF(SUM(K11:K26)&gt;0,E28-SUM(F11:K26),NA())</f>
        <v>#N/A</v>
      </c>
      <c r="L28" s="75" t="str">
        <f>IF(SUM(L11:L26)&gt;0,E28-SUM(F11:L26),NA())</f>
        <v>#N/A</v>
      </c>
      <c r="M28" s="75" t="str">
        <f>IF(SUM(M11:M26)&gt;0,L28-SUM(M11:M26),NA())</f>
        <v>#N/A</v>
      </c>
      <c r="N28" s="75" t="str">
        <f t="shared" ref="N28:O28" si="3">IF(SUM(N11:N26)&gt;0,L28-SUM(M11:N26),NA())</f>
        <v>#N/A</v>
      </c>
      <c r="O28" s="75" t="str">
        <f t="shared" si="3"/>
        <v>#N/A</v>
      </c>
      <c r="P28" s="75" t="str">
        <f>IF(SUM(P11:P26)&gt;0,L28-SUM(M11:P26),NA())</f>
        <v>#N/A</v>
      </c>
      <c r="Q28" s="75" t="str">
        <f>IF(SUM(Q11:Q26)&gt;0,L28-SUM(M11:Q26),NA())</f>
        <v>#N/A</v>
      </c>
      <c r="R28" s="75" t="str">
        <f>IF(SUM(R11:R26)&gt;0,L28-SUM(M11:R26),NA())</f>
        <v>#N/A</v>
      </c>
      <c r="S28" s="75" t="str">
        <f>IF(SUM(S11:S26)&gt;0,L28-SUM(M11:S26),NA())</f>
        <v>#N/A</v>
      </c>
      <c r="T28" s="19"/>
      <c r="U28" s="19"/>
      <c r="V28" s="19"/>
      <c r="W28" s="19"/>
      <c r="X28" s="19"/>
      <c r="Y28" s="19"/>
      <c r="Z28" s="19"/>
    </row>
    <row r="29" ht="12.75" customHeight="1">
      <c r="A29" s="19"/>
      <c r="B29" s="80"/>
      <c r="C29" s="72" t="s">
        <v>111</v>
      </c>
      <c r="D29" s="76"/>
      <c r="E29" s="77"/>
      <c r="F29" s="78">
        <f>E28-(E28/14)</f>
        <v>14.85714286</v>
      </c>
      <c r="G29" s="78">
        <f>F29-(E28/14)</f>
        <v>13.71428571</v>
      </c>
      <c r="H29" s="78">
        <f>G29-(E28/14)</f>
        <v>12.57142857</v>
      </c>
      <c r="I29" s="78">
        <f>H29-(E28/14)</f>
        <v>11.42857143</v>
      </c>
      <c r="J29" s="78">
        <f>I29-(E28/14)</f>
        <v>10.28571429</v>
      </c>
      <c r="K29" s="78">
        <f>J29-(E28/14)</f>
        <v>9.142857143</v>
      </c>
      <c r="L29" s="78">
        <f>K29-(E28/14)</f>
        <v>8</v>
      </c>
      <c r="M29" s="78">
        <f>L29-(E28/14)</f>
        <v>6.857142857</v>
      </c>
      <c r="N29" s="78">
        <f>M29-(E28/14)</f>
        <v>5.714285714</v>
      </c>
      <c r="O29" s="78">
        <f>N29-(E28/14)</f>
        <v>4.571428571</v>
      </c>
      <c r="P29" s="78">
        <f>O29-(E28/14)</f>
        <v>3.428571429</v>
      </c>
      <c r="Q29" s="78">
        <f>P29-(E28/14)</f>
        <v>2.285714286</v>
      </c>
      <c r="R29" s="78">
        <f>Q29-(E28/14)</f>
        <v>1.142857143</v>
      </c>
      <c r="S29" s="78">
        <f>R29-(E28/14)</f>
        <v>0</v>
      </c>
      <c r="T29" s="19"/>
      <c r="U29" s="19"/>
      <c r="V29" s="19"/>
      <c r="W29" s="19"/>
      <c r="X29" s="19"/>
      <c r="Y29" s="19"/>
      <c r="Z29" s="19"/>
    </row>
    <row r="30" ht="12.75" customHeight="1">
      <c r="A30" s="19"/>
      <c r="B30" s="19"/>
      <c r="C30" s="21"/>
      <c r="D30" s="21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19"/>
      <c r="U30" s="19"/>
      <c r="V30" s="19"/>
      <c r="W30" s="19"/>
      <c r="X30" s="19"/>
      <c r="Y30" s="19"/>
      <c r="Z30" s="19"/>
    </row>
    <row r="31" ht="12.75" customHeight="1">
      <c r="A31" s="19"/>
      <c r="B31" s="19"/>
      <c r="C31" s="21"/>
      <c r="D31" s="21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19"/>
      <c r="U31" s="19"/>
      <c r="V31" s="19"/>
      <c r="W31" s="19"/>
      <c r="X31" s="19"/>
      <c r="Y31" s="19"/>
      <c r="Z31" s="19"/>
    </row>
    <row r="32" ht="12.75" customHeight="1">
      <c r="A32" s="19"/>
      <c r="B32" s="19"/>
      <c r="C32" s="21"/>
      <c r="D32" s="21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19"/>
      <c r="U32" s="19"/>
      <c r="V32" s="19"/>
      <c r="W32" s="19"/>
      <c r="X32" s="19"/>
      <c r="Y32" s="19"/>
      <c r="Z32" s="19"/>
    </row>
    <row r="33" ht="12.75" customHeight="1">
      <c r="A33" s="19"/>
      <c r="B33" s="19"/>
      <c r="C33" s="21"/>
      <c r="D33" s="21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19"/>
      <c r="U33" s="19"/>
      <c r="V33" s="19"/>
      <c r="W33" s="19"/>
      <c r="X33" s="19"/>
      <c r="Y33" s="19"/>
      <c r="Z33" s="19"/>
    </row>
    <row r="34" ht="12.75" customHeight="1">
      <c r="A34" s="19"/>
      <c r="B34" s="19"/>
      <c r="C34" s="21"/>
      <c r="D34" s="21"/>
      <c r="E34" s="22"/>
      <c r="F34" s="22"/>
      <c r="G34" s="22"/>
      <c r="H34" s="22"/>
      <c r="I34" s="22"/>
      <c r="J34" s="22"/>
      <c r="K34" s="22">
        <v>0.0</v>
      </c>
      <c r="L34" s="22">
        <f>SUM(E11:E19)</f>
        <v>66</v>
      </c>
      <c r="M34" s="22"/>
      <c r="N34" s="22"/>
      <c r="O34" s="22"/>
      <c r="P34" s="22"/>
      <c r="Q34" s="22"/>
      <c r="R34" s="22">
        <v>0.0</v>
      </c>
      <c r="S34" s="22">
        <f>SUM(L11:L19)</f>
        <v>0</v>
      </c>
      <c r="T34" s="19"/>
      <c r="U34" s="19"/>
      <c r="V34" s="19"/>
      <c r="W34" s="19"/>
      <c r="X34" s="19"/>
      <c r="Y34" s="19"/>
      <c r="Z34" s="19"/>
    </row>
    <row r="35" ht="12.75" customHeight="1">
      <c r="A35" s="19"/>
      <c r="B35" s="19"/>
      <c r="C35" s="21"/>
      <c r="D35" s="21"/>
      <c r="E35" s="22"/>
      <c r="F35" s="22"/>
      <c r="G35" s="22"/>
      <c r="H35" s="22"/>
      <c r="I35" s="22"/>
      <c r="J35" s="22"/>
      <c r="K35" s="22">
        <v>10.0</v>
      </c>
      <c r="L35" s="22">
        <v>0.0</v>
      </c>
      <c r="M35" s="22"/>
      <c r="N35" s="22"/>
      <c r="O35" s="22"/>
      <c r="P35" s="22"/>
      <c r="Q35" s="22"/>
      <c r="R35" s="22">
        <v>10.0</v>
      </c>
      <c r="S35" s="22">
        <v>0.0</v>
      </c>
      <c r="T35" s="19"/>
      <c r="U35" s="19"/>
      <c r="V35" s="19"/>
      <c r="W35" s="19"/>
      <c r="X35" s="19"/>
      <c r="Y35" s="19"/>
      <c r="Z35" s="19"/>
    </row>
    <row r="36" ht="12.75" customHeight="1">
      <c r="A36" s="19"/>
      <c r="B36" s="19"/>
      <c r="C36" s="21"/>
      <c r="D36" s="21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19"/>
      <c r="U36" s="19"/>
      <c r="V36" s="19"/>
      <c r="W36" s="19"/>
      <c r="X36" s="19"/>
      <c r="Y36" s="19"/>
      <c r="Z36" s="19"/>
    </row>
    <row r="37" ht="12.75" customHeight="1">
      <c r="A37" s="19"/>
      <c r="B37" s="19"/>
      <c r="C37" s="21"/>
      <c r="D37" s="21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19"/>
      <c r="U37" s="19"/>
      <c r="V37" s="19"/>
      <c r="W37" s="19"/>
      <c r="X37" s="19"/>
      <c r="Y37" s="19"/>
      <c r="Z37" s="19"/>
    </row>
    <row r="38" ht="12.75" customHeight="1">
      <c r="A38" s="19"/>
      <c r="B38" s="19"/>
      <c r="C38" s="21"/>
      <c r="D38" s="21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19"/>
      <c r="U38" s="19"/>
      <c r="V38" s="19"/>
      <c r="W38" s="19"/>
      <c r="X38" s="19"/>
      <c r="Y38" s="19"/>
      <c r="Z38" s="19"/>
    </row>
    <row r="39" ht="12.75" customHeight="1">
      <c r="A39" s="19"/>
      <c r="B39" s="19"/>
      <c r="C39" s="21"/>
      <c r="D39" s="21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19"/>
      <c r="U39" s="19"/>
      <c r="V39" s="19"/>
      <c r="W39" s="19"/>
      <c r="X39" s="19"/>
      <c r="Y39" s="19"/>
      <c r="Z39" s="19"/>
    </row>
    <row r="40" ht="12.75" customHeight="1">
      <c r="A40" s="19"/>
      <c r="B40" s="19"/>
      <c r="C40" s="21"/>
      <c r="D40" s="21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19"/>
      <c r="U40" s="19"/>
      <c r="V40" s="19"/>
      <c r="W40" s="19"/>
      <c r="X40" s="19"/>
      <c r="Y40" s="19"/>
      <c r="Z40" s="19"/>
    </row>
    <row r="41" ht="12.75" customHeight="1">
      <c r="A41" s="19"/>
      <c r="B41" s="19"/>
      <c r="C41" s="21"/>
      <c r="D41" s="21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19"/>
      <c r="U41" s="19"/>
      <c r="V41" s="19"/>
      <c r="W41" s="19"/>
      <c r="X41" s="19"/>
      <c r="Y41" s="19"/>
      <c r="Z41" s="19"/>
    </row>
    <row r="42" ht="12.75" customHeight="1">
      <c r="A42" s="19"/>
      <c r="B42" s="19"/>
      <c r="C42" s="21"/>
      <c r="D42" s="21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19"/>
      <c r="U42" s="19"/>
      <c r="V42" s="19"/>
      <c r="W42" s="19"/>
      <c r="X42" s="19"/>
      <c r="Y42" s="19"/>
      <c r="Z42" s="19"/>
    </row>
    <row r="43" ht="12.75" customHeight="1">
      <c r="A43" s="19"/>
      <c r="B43" s="19"/>
      <c r="C43" s="21"/>
      <c r="D43" s="21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19"/>
      <c r="U43" s="19"/>
      <c r="V43" s="19"/>
      <c r="W43" s="19"/>
      <c r="X43" s="19"/>
      <c r="Y43" s="19"/>
      <c r="Z43" s="19"/>
    </row>
    <row r="44" ht="12.75" customHeight="1">
      <c r="A44" s="19"/>
      <c r="B44" s="19"/>
      <c r="C44" s="21"/>
      <c r="D44" s="21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19"/>
      <c r="U44" s="19"/>
      <c r="V44" s="19"/>
      <c r="W44" s="19"/>
      <c r="X44" s="19"/>
      <c r="Y44" s="19"/>
      <c r="Z44" s="19"/>
    </row>
    <row r="45" ht="12.75" customHeight="1">
      <c r="A45" s="19"/>
      <c r="B45" s="19"/>
      <c r="C45" s="21"/>
      <c r="D45" s="21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19"/>
      <c r="U45" s="19"/>
      <c r="V45" s="19"/>
      <c r="W45" s="19"/>
      <c r="X45" s="19"/>
      <c r="Y45" s="19"/>
      <c r="Z45" s="19"/>
    </row>
    <row r="46" ht="12.75" customHeight="1">
      <c r="A46" s="19"/>
      <c r="B46" s="19"/>
      <c r="C46" s="21"/>
      <c r="D46" s="21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19"/>
      <c r="U46" s="19"/>
      <c r="V46" s="19"/>
      <c r="W46" s="19"/>
      <c r="X46" s="19"/>
      <c r="Y46" s="19"/>
      <c r="Z46" s="19"/>
    </row>
    <row r="47" ht="12.75" customHeight="1">
      <c r="A47" s="19"/>
      <c r="B47" s="19"/>
      <c r="C47" s="21"/>
      <c r="D47" s="21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19"/>
      <c r="U47" s="19"/>
      <c r="V47" s="19"/>
      <c r="W47" s="19"/>
      <c r="X47" s="19"/>
      <c r="Y47" s="19"/>
      <c r="Z47" s="19"/>
    </row>
    <row r="48" ht="12.75" customHeight="1">
      <c r="A48" s="19"/>
      <c r="B48" s="19"/>
      <c r="C48" s="21"/>
      <c r="D48" s="21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19"/>
      <c r="U48" s="19"/>
      <c r="V48" s="19"/>
      <c r="W48" s="19"/>
      <c r="X48" s="19"/>
      <c r="Y48" s="19"/>
      <c r="Z48" s="19"/>
    </row>
    <row r="49" ht="12.75" customHeight="1">
      <c r="A49" s="19"/>
      <c r="B49" s="19"/>
      <c r="C49" s="21"/>
      <c r="D49" s="21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19"/>
      <c r="U49" s="19"/>
      <c r="V49" s="19"/>
      <c r="W49" s="19"/>
      <c r="X49" s="19"/>
      <c r="Y49" s="19"/>
      <c r="Z49" s="19"/>
    </row>
    <row r="50" ht="12.75" customHeight="1">
      <c r="A50" s="19"/>
      <c r="B50" s="19"/>
      <c r="C50" s="21"/>
      <c r="D50" s="21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19"/>
      <c r="U50" s="19"/>
      <c r="V50" s="19"/>
      <c r="W50" s="19"/>
      <c r="X50" s="19"/>
      <c r="Y50" s="19"/>
      <c r="Z50" s="19"/>
    </row>
    <row r="51" ht="12.75" customHeight="1">
      <c r="A51" s="19"/>
      <c r="B51" s="19"/>
      <c r="C51" s="21"/>
      <c r="D51" s="21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19"/>
      <c r="U51" s="19"/>
      <c r="V51" s="19"/>
      <c r="W51" s="19"/>
      <c r="X51" s="19"/>
      <c r="Y51" s="19"/>
      <c r="Z51" s="19"/>
    </row>
    <row r="52" ht="12.75" customHeight="1">
      <c r="A52" s="19"/>
      <c r="B52" s="19"/>
      <c r="C52" s="21"/>
      <c r="D52" s="21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19"/>
      <c r="U52" s="19"/>
      <c r="V52" s="19"/>
      <c r="W52" s="19"/>
      <c r="X52" s="19"/>
      <c r="Y52" s="19"/>
      <c r="Z52" s="19"/>
    </row>
    <row r="53" ht="12.75" customHeight="1">
      <c r="A53" s="19"/>
      <c r="B53" s="19"/>
      <c r="C53" s="21"/>
      <c r="D53" s="21"/>
      <c r="E53" s="22"/>
      <c r="F53" s="22"/>
      <c r="G53" s="22"/>
      <c r="H53" s="22"/>
      <c r="I53" s="22"/>
      <c r="J53" s="22"/>
      <c r="K53" s="22"/>
      <c r="L53" s="22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2.75" customHeight="1">
      <c r="A54" s="19"/>
      <c r="B54" s="19"/>
      <c r="C54" s="21"/>
      <c r="D54" s="21"/>
      <c r="E54" s="22"/>
      <c r="F54" s="22"/>
      <c r="G54" s="22"/>
      <c r="H54" s="22"/>
      <c r="I54" s="22"/>
      <c r="J54" s="22"/>
      <c r="K54" s="22"/>
      <c r="L54" s="22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2.75" customHeight="1">
      <c r="A55" s="19"/>
      <c r="B55" s="19"/>
      <c r="C55" s="21"/>
      <c r="D55" s="21"/>
      <c r="E55" s="22"/>
      <c r="F55" s="22"/>
      <c r="G55" s="22"/>
      <c r="H55" s="22"/>
      <c r="I55" s="22"/>
      <c r="J55" s="22"/>
      <c r="K55" s="22"/>
      <c r="L55" s="22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2.75" customHeight="1">
      <c r="A56" s="19"/>
      <c r="B56" s="19"/>
      <c r="C56" s="21"/>
      <c r="D56" s="21"/>
      <c r="E56" s="22"/>
      <c r="F56" s="22"/>
      <c r="G56" s="22"/>
      <c r="H56" s="22"/>
      <c r="I56" s="22"/>
      <c r="J56" s="22"/>
      <c r="K56" s="22"/>
      <c r="L56" s="22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2.75" customHeight="1">
      <c r="A57" s="19"/>
      <c r="B57" s="19"/>
      <c r="C57" s="21"/>
      <c r="D57" s="21"/>
      <c r="E57" s="22"/>
      <c r="F57" s="22"/>
      <c r="G57" s="22"/>
      <c r="H57" s="22"/>
      <c r="I57" s="22"/>
      <c r="J57" s="22"/>
      <c r="K57" s="22"/>
      <c r="L57" s="22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2.75" customHeight="1">
      <c r="A58" s="19"/>
      <c r="B58" s="19"/>
      <c r="C58" s="21"/>
      <c r="D58" s="21"/>
      <c r="E58" s="22"/>
      <c r="F58" s="22"/>
      <c r="G58" s="22"/>
      <c r="H58" s="22"/>
      <c r="I58" s="22"/>
      <c r="J58" s="22"/>
      <c r="K58" s="22"/>
      <c r="L58" s="22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2.75" customHeight="1">
      <c r="A59" s="19"/>
      <c r="B59" s="19"/>
      <c r="C59" s="21"/>
      <c r="D59" s="21"/>
      <c r="E59" s="22"/>
      <c r="F59" s="22"/>
      <c r="G59" s="22"/>
      <c r="H59" s="22"/>
      <c r="I59" s="22"/>
      <c r="J59" s="22"/>
      <c r="K59" s="22"/>
      <c r="L59" s="22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2.75" customHeight="1">
      <c r="A60" s="19"/>
      <c r="B60" s="19"/>
      <c r="C60" s="21"/>
      <c r="D60" s="21"/>
      <c r="E60" s="22"/>
      <c r="F60" s="22"/>
      <c r="G60" s="22"/>
      <c r="H60" s="22"/>
      <c r="I60" s="22"/>
      <c r="J60" s="22"/>
      <c r="K60" s="22"/>
      <c r="L60" s="22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2.75" customHeight="1">
      <c r="A61" s="19"/>
      <c r="B61" s="19"/>
      <c r="C61" s="21"/>
      <c r="D61" s="21"/>
      <c r="E61" s="22"/>
      <c r="F61" s="22"/>
      <c r="G61" s="22"/>
      <c r="H61" s="22"/>
      <c r="I61" s="22"/>
      <c r="J61" s="22"/>
      <c r="K61" s="22"/>
      <c r="L61" s="22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2.75" customHeight="1">
      <c r="A62" s="19"/>
      <c r="B62" s="19"/>
      <c r="C62" s="21"/>
      <c r="D62" s="21"/>
      <c r="E62" s="22"/>
      <c r="F62" s="22"/>
      <c r="G62" s="22"/>
      <c r="H62" s="22"/>
      <c r="I62" s="22"/>
      <c r="J62" s="22"/>
      <c r="K62" s="22"/>
      <c r="L62" s="22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2.75" customHeight="1">
      <c r="A63" s="19"/>
      <c r="B63" s="19"/>
      <c r="C63" s="21"/>
      <c r="D63" s="21"/>
      <c r="E63" s="22"/>
      <c r="F63" s="22"/>
      <c r="G63" s="22"/>
      <c r="H63" s="22"/>
      <c r="I63" s="22"/>
      <c r="J63" s="22"/>
      <c r="K63" s="22"/>
      <c r="L63" s="22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2.75" customHeight="1">
      <c r="A64" s="19"/>
      <c r="B64" s="19"/>
      <c r="C64" s="21"/>
      <c r="D64" s="21"/>
      <c r="E64" s="22"/>
      <c r="F64" s="22"/>
      <c r="G64" s="22"/>
      <c r="H64" s="22"/>
      <c r="I64" s="22"/>
      <c r="J64" s="22"/>
      <c r="K64" s="22"/>
      <c r="L64" s="22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2.75" customHeight="1">
      <c r="A65" s="19"/>
      <c r="B65" s="19"/>
      <c r="C65" s="21"/>
      <c r="D65" s="21"/>
      <c r="E65" s="22"/>
      <c r="F65" s="22"/>
      <c r="G65" s="22"/>
      <c r="H65" s="22"/>
      <c r="I65" s="22"/>
      <c r="J65" s="22"/>
      <c r="K65" s="22"/>
      <c r="L65" s="22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2.75" customHeight="1">
      <c r="A66" s="19"/>
      <c r="B66" s="19"/>
      <c r="C66" s="21"/>
      <c r="D66" s="21"/>
      <c r="E66" s="22"/>
      <c r="F66" s="22"/>
      <c r="G66" s="22"/>
      <c r="H66" s="22"/>
      <c r="I66" s="22"/>
      <c r="J66" s="22"/>
      <c r="K66" s="22"/>
      <c r="L66" s="22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2.75" customHeight="1">
      <c r="A67" s="19"/>
      <c r="B67" s="19"/>
      <c r="C67" s="21"/>
      <c r="D67" s="21"/>
      <c r="E67" s="22"/>
      <c r="F67" s="22"/>
      <c r="G67" s="22"/>
      <c r="H67" s="22"/>
      <c r="I67" s="22"/>
      <c r="J67" s="22"/>
      <c r="K67" s="22"/>
      <c r="L67" s="22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2.75" customHeight="1">
      <c r="A68" s="19"/>
      <c r="B68" s="19"/>
      <c r="C68" s="21"/>
      <c r="D68" s="21"/>
      <c r="E68" s="22"/>
      <c r="F68" s="22"/>
      <c r="G68" s="22"/>
      <c r="H68" s="22"/>
      <c r="I68" s="22"/>
      <c r="J68" s="22"/>
      <c r="K68" s="22"/>
      <c r="L68" s="22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2.75" customHeight="1">
      <c r="A69" s="19"/>
      <c r="B69" s="19"/>
      <c r="C69" s="21"/>
      <c r="D69" s="21"/>
      <c r="E69" s="22"/>
      <c r="F69" s="22"/>
      <c r="G69" s="22"/>
      <c r="H69" s="22"/>
      <c r="I69" s="22"/>
      <c r="J69" s="22"/>
      <c r="K69" s="22"/>
      <c r="L69" s="22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2.75" customHeight="1">
      <c r="A70" s="19"/>
      <c r="B70" s="19"/>
      <c r="C70" s="21"/>
      <c r="D70" s="21"/>
      <c r="E70" s="22"/>
      <c r="F70" s="22"/>
      <c r="G70" s="22"/>
      <c r="H70" s="22"/>
      <c r="I70" s="22"/>
      <c r="J70" s="22"/>
      <c r="K70" s="22"/>
      <c r="L70" s="22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2.75" customHeight="1">
      <c r="A71" s="19"/>
      <c r="B71" s="19"/>
      <c r="C71" s="21"/>
      <c r="D71" s="21"/>
      <c r="E71" s="22"/>
      <c r="F71" s="22"/>
      <c r="G71" s="22"/>
      <c r="H71" s="22"/>
      <c r="I71" s="22"/>
      <c r="J71" s="22"/>
      <c r="K71" s="22"/>
      <c r="L71" s="22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2.75" customHeight="1">
      <c r="A72" s="19"/>
      <c r="B72" s="19"/>
      <c r="C72" s="21"/>
      <c r="D72" s="21"/>
      <c r="E72" s="22"/>
      <c r="F72" s="22"/>
      <c r="G72" s="22"/>
      <c r="H72" s="22"/>
      <c r="I72" s="22"/>
      <c r="J72" s="22"/>
      <c r="K72" s="22"/>
      <c r="L72" s="22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2.75" customHeight="1">
      <c r="A73" s="19"/>
      <c r="B73" s="19"/>
      <c r="C73" s="21"/>
      <c r="D73" s="21"/>
      <c r="E73" s="22"/>
      <c r="F73" s="22"/>
      <c r="G73" s="22"/>
      <c r="H73" s="22"/>
      <c r="I73" s="22"/>
      <c r="J73" s="22"/>
      <c r="K73" s="22"/>
      <c r="L73" s="22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2.75" customHeight="1">
      <c r="A74" s="19"/>
      <c r="B74" s="19"/>
      <c r="C74" s="21"/>
      <c r="D74" s="21"/>
      <c r="E74" s="22"/>
      <c r="F74" s="22"/>
      <c r="G74" s="22"/>
      <c r="H74" s="22"/>
      <c r="I74" s="22"/>
      <c r="J74" s="22"/>
      <c r="K74" s="22"/>
      <c r="L74" s="22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2.75" customHeight="1">
      <c r="A75" s="19"/>
      <c r="B75" s="19"/>
      <c r="C75" s="21"/>
      <c r="D75" s="21"/>
      <c r="E75" s="22"/>
      <c r="F75" s="22"/>
      <c r="G75" s="22"/>
      <c r="H75" s="22"/>
      <c r="I75" s="22"/>
      <c r="J75" s="22"/>
      <c r="K75" s="22"/>
      <c r="L75" s="22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2.75" customHeight="1">
      <c r="A76" s="19"/>
      <c r="B76" s="19"/>
      <c r="C76" s="21"/>
      <c r="D76" s="21"/>
      <c r="E76" s="22"/>
      <c r="F76" s="22"/>
      <c r="G76" s="22"/>
      <c r="H76" s="22"/>
      <c r="I76" s="22"/>
      <c r="J76" s="22"/>
      <c r="K76" s="22"/>
      <c r="L76" s="22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2.75" customHeight="1">
      <c r="A77" s="19"/>
      <c r="B77" s="19"/>
      <c r="C77" s="21"/>
      <c r="D77" s="21"/>
      <c r="E77" s="22"/>
      <c r="F77" s="22"/>
      <c r="G77" s="22"/>
      <c r="H77" s="22"/>
      <c r="I77" s="22"/>
      <c r="J77" s="22"/>
      <c r="K77" s="22"/>
      <c r="L77" s="22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2.75" customHeight="1">
      <c r="A78" s="19"/>
      <c r="B78" s="19"/>
      <c r="C78" s="21"/>
      <c r="D78" s="21"/>
      <c r="E78" s="22"/>
      <c r="F78" s="22"/>
      <c r="G78" s="22"/>
      <c r="H78" s="22"/>
      <c r="I78" s="22"/>
      <c r="J78" s="22"/>
      <c r="K78" s="22"/>
      <c r="L78" s="22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2.75" customHeight="1">
      <c r="A79" s="19"/>
      <c r="B79" s="19"/>
      <c r="C79" s="21"/>
      <c r="D79" s="21"/>
      <c r="E79" s="22"/>
      <c r="F79" s="22"/>
      <c r="G79" s="22"/>
      <c r="H79" s="22"/>
      <c r="I79" s="22"/>
      <c r="J79" s="22"/>
      <c r="K79" s="22"/>
      <c r="L79" s="22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2.75" customHeight="1">
      <c r="A80" s="19"/>
      <c r="B80" s="19"/>
      <c r="C80" s="21"/>
      <c r="D80" s="21"/>
      <c r="E80" s="22"/>
      <c r="F80" s="22"/>
      <c r="G80" s="22"/>
      <c r="H80" s="22"/>
      <c r="I80" s="22"/>
      <c r="J80" s="22"/>
      <c r="K80" s="22"/>
      <c r="L80" s="22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2.75" customHeight="1">
      <c r="A81" s="19"/>
      <c r="B81" s="19"/>
      <c r="C81" s="21"/>
      <c r="D81" s="21"/>
      <c r="E81" s="22"/>
      <c r="F81" s="22"/>
      <c r="G81" s="22"/>
      <c r="H81" s="22"/>
      <c r="I81" s="22"/>
      <c r="J81" s="22"/>
      <c r="K81" s="22"/>
      <c r="L81" s="22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2.75" customHeight="1">
      <c r="A82" s="19"/>
      <c r="B82" s="19"/>
      <c r="C82" s="21"/>
      <c r="D82" s="21"/>
      <c r="E82" s="22"/>
      <c r="F82" s="22"/>
      <c r="G82" s="22"/>
      <c r="H82" s="22"/>
      <c r="I82" s="22"/>
      <c r="J82" s="22"/>
      <c r="K82" s="22"/>
      <c r="L82" s="22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2.75" customHeight="1">
      <c r="A83" s="19"/>
      <c r="B83" s="19"/>
      <c r="C83" s="21"/>
      <c r="D83" s="21"/>
      <c r="E83" s="22"/>
      <c r="F83" s="22"/>
      <c r="G83" s="22"/>
      <c r="H83" s="22"/>
      <c r="I83" s="22"/>
      <c r="J83" s="22"/>
      <c r="K83" s="22"/>
      <c r="L83" s="22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2.75" customHeight="1">
      <c r="A84" s="19"/>
      <c r="B84" s="19"/>
      <c r="C84" s="21"/>
      <c r="D84" s="21"/>
      <c r="E84" s="22"/>
      <c r="F84" s="22"/>
      <c r="G84" s="22"/>
      <c r="H84" s="22"/>
      <c r="I84" s="22"/>
      <c r="J84" s="22"/>
      <c r="K84" s="22"/>
      <c r="L84" s="22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2.75" customHeight="1">
      <c r="A85" s="19"/>
      <c r="B85" s="19"/>
      <c r="C85" s="21"/>
      <c r="D85" s="21"/>
      <c r="E85" s="22"/>
      <c r="F85" s="22"/>
      <c r="G85" s="22"/>
      <c r="H85" s="22"/>
      <c r="I85" s="22"/>
      <c r="J85" s="22"/>
      <c r="K85" s="22"/>
      <c r="L85" s="22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2.75" customHeight="1">
      <c r="A86" s="19"/>
      <c r="B86" s="19"/>
      <c r="C86" s="21"/>
      <c r="D86" s="21"/>
      <c r="E86" s="22"/>
      <c r="F86" s="22"/>
      <c r="G86" s="22"/>
      <c r="H86" s="22"/>
      <c r="I86" s="22"/>
      <c r="J86" s="22"/>
      <c r="K86" s="22"/>
      <c r="L86" s="22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2.75" customHeight="1">
      <c r="A87" s="19"/>
      <c r="B87" s="19"/>
      <c r="C87" s="21"/>
      <c r="D87" s="21"/>
      <c r="E87" s="22"/>
      <c r="F87" s="22"/>
      <c r="G87" s="22"/>
      <c r="H87" s="22"/>
      <c r="I87" s="22"/>
      <c r="J87" s="22"/>
      <c r="K87" s="22"/>
      <c r="L87" s="22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2.75" customHeight="1">
      <c r="A88" s="19"/>
      <c r="B88" s="19"/>
      <c r="C88" s="21"/>
      <c r="D88" s="21"/>
      <c r="E88" s="22"/>
      <c r="F88" s="22"/>
      <c r="G88" s="22"/>
      <c r="H88" s="22"/>
      <c r="I88" s="22"/>
      <c r="J88" s="22"/>
      <c r="K88" s="22"/>
      <c r="L88" s="22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2.75" customHeight="1">
      <c r="A89" s="19"/>
      <c r="B89" s="19"/>
      <c r="C89" s="21"/>
      <c r="D89" s="21"/>
      <c r="E89" s="22"/>
      <c r="F89" s="22"/>
      <c r="G89" s="22"/>
      <c r="H89" s="22"/>
      <c r="I89" s="22"/>
      <c r="J89" s="22"/>
      <c r="K89" s="22"/>
      <c r="L89" s="22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2.75" customHeight="1">
      <c r="A90" s="19"/>
      <c r="B90" s="19"/>
      <c r="C90" s="21"/>
      <c r="D90" s="21"/>
      <c r="E90" s="22"/>
      <c r="F90" s="22"/>
      <c r="G90" s="22"/>
      <c r="H90" s="22"/>
      <c r="I90" s="22"/>
      <c r="J90" s="22"/>
      <c r="K90" s="22"/>
      <c r="L90" s="22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2.75" customHeight="1">
      <c r="A91" s="19"/>
      <c r="B91" s="19"/>
      <c r="C91" s="21"/>
      <c r="D91" s="21"/>
      <c r="E91" s="22"/>
      <c r="F91" s="22"/>
      <c r="G91" s="22"/>
      <c r="H91" s="22"/>
      <c r="I91" s="22"/>
      <c r="J91" s="22"/>
      <c r="K91" s="22"/>
      <c r="L91" s="22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2.75" customHeight="1">
      <c r="A92" s="19"/>
      <c r="B92" s="19"/>
      <c r="C92" s="21"/>
      <c r="D92" s="21"/>
      <c r="E92" s="22"/>
      <c r="F92" s="22"/>
      <c r="G92" s="22"/>
      <c r="H92" s="22"/>
      <c r="I92" s="22"/>
      <c r="J92" s="22"/>
      <c r="K92" s="22"/>
      <c r="L92" s="22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2.75" customHeight="1">
      <c r="A93" s="19"/>
      <c r="B93" s="19"/>
      <c r="C93" s="21"/>
      <c r="D93" s="21"/>
      <c r="E93" s="22"/>
      <c r="F93" s="22"/>
      <c r="G93" s="22"/>
      <c r="H93" s="22"/>
      <c r="I93" s="22"/>
      <c r="J93" s="22"/>
      <c r="K93" s="22"/>
      <c r="L93" s="22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2.75" customHeight="1">
      <c r="A94" s="19"/>
      <c r="B94" s="19"/>
      <c r="C94" s="21"/>
      <c r="D94" s="21"/>
      <c r="E94" s="22"/>
      <c r="F94" s="22"/>
      <c r="G94" s="22"/>
      <c r="H94" s="22"/>
      <c r="I94" s="22"/>
      <c r="J94" s="22"/>
      <c r="K94" s="22"/>
      <c r="L94" s="22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2.75" customHeight="1">
      <c r="A95" s="19"/>
      <c r="B95" s="19"/>
      <c r="C95" s="21"/>
      <c r="D95" s="21"/>
      <c r="E95" s="22"/>
      <c r="F95" s="22"/>
      <c r="G95" s="22"/>
      <c r="H95" s="22"/>
      <c r="I95" s="22"/>
      <c r="J95" s="22"/>
      <c r="K95" s="22"/>
      <c r="L95" s="22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2.75" customHeight="1">
      <c r="A96" s="19"/>
      <c r="B96" s="19"/>
      <c r="C96" s="21"/>
      <c r="D96" s="21"/>
      <c r="E96" s="22"/>
      <c r="F96" s="22"/>
      <c r="G96" s="22"/>
      <c r="H96" s="22"/>
      <c r="I96" s="22"/>
      <c r="J96" s="22"/>
      <c r="K96" s="22"/>
      <c r="L96" s="22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2.75" customHeight="1">
      <c r="A97" s="19"/>
      <c r="B97" s="19"/>
      <c r="C97" s="21"/>
      <c r="D97" s="21"/>
      <c r="E97" s="22"/>
      <c r="F97" s="22"/>
      <c r="G97" s="22"/>
      <c r="H97" s="22"/>
      <c r="I97" s="22"/>
      <c r="J97" s="22"/>
      <c r="K97" s="22"/>
      <c r="L97" s="22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2.75" customHeight="1">
      <c r="A98" s="19"/>
      <c r="B98" s="19"/>
      <c r="C98" s="21"/>
      <c r="D98" s="21"/>
      <c r="E98" s="22"/>
      <c r="F98" s="22"/>
      <c r="G98" s="22"/>
      <c r="H98" s="22"/>
      <c r="I98" s="22"/>
      <c r="J98" s="22"/>
      <c r="K98" s="22"/>
      <c r="L98" s="22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2.75" customHeight="1">
      <c r="A99" s="19"/>
      <c r="B99" s="19"/>
      <c r="C99" s="21"/>
      <c r="D99" s="21"/>
      <c r="E99" s="22"/>
      <c r="F99" s="22"/>
      <c r="G99" s="22"/>
      <c r="H99" s="22"/>
      <c r="I99" s="22"/>
      <c r="J99" s="22"/>
      <c r="K99" s="22"/>
      <c r="L99" s="22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2.75" customHeight="1">
      <c r="A100" s="19"/>
      <c r="B100" s="19"/>
      <c r="C100" s="21"/>
      <c r="D100" s="21"/>
      <c r="E100" s="22"/>
      <c r="F100" s="22"/>
      <c r="G100" s="22"/>
      <c r="H100" s="22"/>
      <c r="I100" s="22"/>
      <c r="J100" s="22"/>
      <c r="K100" s="22"/>
      <c r="L100" s="22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2.75" customHeight="1">
      <c r="A101" s="19"/>
      <c r="B101" s="19"/>
      <c r="C101" s="21"/>
      <c r="D101" s="21"/>
      <c r="E101" s="22"/>
      <c r="F101" s="22"/>
      <c r="G101" s="22"/>
      <c r="H101" s="22"/>
      <c r="I101" s="22"/>
      <c r="J101" s="22"/>
      <c r="K101" s="22"/>
      <c r="L101" s="22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2.75" customHeight="1">
      <c r="A102" s="19"/>
      <c r="B102" s="19"/>
      <c r="C102" s="21"/>
      <c r="D102" s="21"/>
      <c r="E102" s="22"/>
      <c r="F102" s="22"/>
      <c r="G102" s="22"/>
      <c r="H102" s="22"/>
      <c r="I102" s="22"/>
      <c r="J102" s="22"/>
      <c r="K102" s="22"/>
      <c r="L102" s="22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2.75" customHeight="1">
      <c r="A103" s="19"/>
      <c r="B103" s="19"/>
      <c r="C103" s="21"/>
      <c r="D103" s="21"/>
      <c r="E103" s="22"/>
      <c r="F103" s="22"/>
      <c r="G103" s="22"/>
      <c r="H103" s="22"/>
      <c r="I103" s="22"/>
      <c r="J103" s="22"/>
      <c r="K103" s="22"/>
      <c r="L103" s="22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2.75" customHeight="1">
      <c r="A104" s="19"/>
      <c r="B104" s="19"/>
      <c r="C104" s="21"/>
      <c r="D104" s="21"/>
      <c r="E104" s="22"/>
      <c r="F104" s="22"/>
      <c r="G104" s="22"/>
      <c r="H104" s="22"/>
      <c r="I104" s="22"/>
      <c r="J104" s="22"/>
      <c r="K104" s="22"/>
      <c r="L104" s="22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2.75" customHeight="1">
      <c r="A105" s="19"/>
      <c r="B105" s="19"/>
      <c r="C105" s="21"/>
      <c r="D105" s="21"/>
      <c r="E105" s="22"/>
      <c r="F105" s="22"/>
      <c r="G105" s="22"/>
      <c r="H105" s="22"/>
      <c r="I105" s="22"/>
      <c r="J105" s="22"/>
      <c r="K105" s="22"/>
      <c r="L105" s="22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2.75" customHeight="1">
      <c r="A106" s="19"/>
      <c r="B106" s="19"/>
      <c r="C106" s="21"/>
      <c r="D106" s="21"/>
      <c r="E106" s="22"/>
      <c r="F106" s="22"/>
      <c r="G106" s="22"/>
      <c r="H106" s="22"/>
      <c r="I106" s="22"/>
      <c r="J106" s="22"/>
      <c r="K106" s="22"/>
      <c r="L106" s="22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2.75" customHeight="1">
      <c r="A107" s="19"/>
      <c r="B107" s="19"/>
      <c r="C107" s="21"/>
      <c r="D107" s="21"/>
      <c r="E107" s="22"/>
      <c r="F107" s="22"/>
      <c r="G107" s="22"/>
      <c r="H107" s="22"/>
      <c r="I107" s="22"/>
      <c r="J107" s="22"/>
      <c r="K107" s="22"/>
      <c r="L107" s="22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2.75" customHeight="1">
      <c r="A108" s="19"/>
      <c r="B108" s="19"/>
      <c r="C108" s="21"/>
      <c r="D108" s="21"/>
      <c r="E108" s="22"/>
      <c r="F108" s="22"/>
      <c r="G108" s="22"/>
      <c r="H108" s="22"/>
      <c r="I108" s="22"/>
      <c r="J108" s="22"/>
      <c r="K108" s="22"/>
      <c r="L108" s="22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2.75" customHeight="1">
      <c r="A109" s="19"/>
      <c r="B109" s="19"/>
      <c r="C109" s="21"/>
      <c r="D109" s="21"/>
      <c r="E109" s="22"/>
      <c r="F109" s="22"/>
      <c r="G109" s="22"/>
      <c r="H109" s="22"/>
      <c r="I109" s="22"/>
      <c r="J109" s="22"/>
      <c r="K109" s="22"/>
      <c r="L109" s="22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2.75" customHeight="1">
      <c r="A110" s="19"/>
      <c r="B110" s="19"/>
      <c r="C110" s="21"/>
      <c r="D110" s="21"/>
      <c r="E110" s="22"/>
      <c r="F110" s="22"/>
      <c r="G110" s="22"/>
      <c r="H110" s="22"/>
      <c r="I110" s="22"/>
      <c r="J110" s="22"/>
      <c r="K110" s="22"/>
      <c r="L110" s="22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2.75" customHeight="1">
      <c r="A111" s="19"/>
      <c r="B111" s="19"/>
      <c r="C111" s="21"/>
      <c r="D111" s="21"/>
      <c r="E111" s="22"/>
      <c r="F111" s="22"/>
      <c r="G111" s="22"/>
      <c r="H111" s="22"/>
      <c r="I111" s="22"/>
      <c r="J111" s="22"/>
      <c r="K111" s="22"/>
      <c r="L111" s="22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2.75" customHeight="1">
      <c r="A112" s="19"/>
      <c r="B112" s="19"/>
      <c r="C112" s="21"/>
      <c r="D112" s="21"/>
      <c r="E112" s="22"/>
      <c r="F112" s="22"/>
      <c r="G112" s="22"/>
      <c r="H112" s="22"/>
      <c r="I112" s="22"/>
      <c r="J112" s="22"/>
      <c r="K112" s="22"/>
      <c r="L112" s="22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2.75" customHeight="1">
      <c r="A113" s="19"/>
      <c r="B113" s="19"/>
      <c r="C113" s="21"/>
      <c r="D113" s="21"/>
      <c r="E113" s="22"/>
      <c r="F113" s="22"/>
      <c r="G113" s="22"/>
      <c r="H113" s="22"/>
      <c r="I113" s="22"/>
      <c r="J113" s="22"/>
      <c r="K113" s="22"/>
      <c r="L113" s="22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2.75" customHeight="1">
      <c r="A114" s="19"/>
      <c r="B114" s="19"/>
      <c r="C114" s="21"/>
      <c r="D114" s="21"/>
      <c r="E114" s="22"/>
      <c r="F114" s="22"/>
      <c r="G114" s="22"/>
      <c r="H114" s="22"/>
      <c r="I114" s="22"/>
      <c r="J114" s="22"/>
      <c r="K114" s="22"/>
      <c r="L114" s="22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2.75" customHeight="1">
      <c r="A115" s="19"/>
      <c r="B115" s="19"/>
      <c r="C115" s="21"/>
      <c r="D115" s="21"/>
      <c r="E115" s="22"/>
      <c r="F115" s="22"/>
      <c r="G115" s="22"/>
      <c r="H115" s="22"/>
      <c r="I115" s="22"/>
      <c r="J115" s="22"/>
      <c r="K115" s="22"/>
      <c r="L115" s="22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2.75" customHeight="1">
      <c r="A116" s="19"/>
      <c r="B116" s="19"/>
      <c r="C116" s="21"/>
      <c r="D116" s="21"/>
      <c r="E116" s="22"/>
      <c r="F116" s="22"/>
      <c r="G116" s="22"/>
      <c r="H116" s="22"/>
      <c r="I116" s="22"/>
      <c r="J116" s="22"/>
      <c r="K116" s="22"/>
      <c r="L116" s="22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2.75" customHeight="1">
      <c r="A117" s="19"/>
      <c r="B117" s="19"/>
      <c r="C117" s="21"/>
      <c r="D117" s="21"/>
      <c r="E117" s="22"/>
      <c r="F117" s="22"/>
      <c r="G117" s="22"/>
      <c r="H117" s="22"/>
      <c r="I117" s="22"/>
      <c r="J117" s="22"/>
      <c r="K117" s="22"/>
      <c r="L117" s="22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2.75" customHeight="1">
      <c r="A118" s="19"/>
      <c r="B118" s="19"/>
      <c r="C118" s="21"/>
      <c r="D118" s="21"/>
      <c r="E118" s="22"/>
      <c r="F118" s="22"/>
      <c r="G118" s="22"/>
      <c r="H118" s="22"/>
      <c r="I118" s="22"/>
      <c r="J118" s="22"/>
      <c r="K118" s="22"/>
      <c r="L118" s="22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2.75" customHeight="1">
      <c r="A119" s="19"/>
      <c r="B119" s="19"/>
      <c r="C119" s="21"/>
      <c r="D119" s="21"/>
      <c r="E119" s="22"/>
      <c r="F119" s="22"/>
      <c r="G119" s="22"/>
      <c r="H119" s="22"/>
      <c r="I119" s="22"/>
      <c r="J119" s="22"/>
      <c r="K119" s="22"/>
      <c r="L119" s="22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2.75" customHeight="1">
      <c r="A120" s="19"/>
      <c r="B120" s="19"/>
      <c r="C120" s="21"/>
      <c r="D120" s="21"/>
      <c r="E120" s="22"/>
      <c r="F120" s="22"/>
      <c r="G120" s="22"/>
      <c r="H120" s="22"/>
      <c r="I120" s="22"/>
      <c r="J120" s="22"/>
      <c r="K120" s="22"/>
      <c r="L120" s="22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2.75" customHeight="1">
      <c r="A121" s="19"/>
      <c r="B121" s="19"/>
      <c r="C121" s="21"/>
      <c r="D121" s="21"/>
      <c r="E121" s="22"/>
      <c r="F121" s="22"/>
      <c r="G121" s="22"/>
      <c r="H121" s="22"/>
      <c r="I121" s="22"/>
      <c r="J121" s="22"/>
      <c r="K121" s="22"/>
      <c r="L121" s="22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2.75" customHeight="1">
      <c r="A122" s="19"/>
      <c r="B122" s="19"/>
      <c r="C122" s="21"/>
      <c r="D122" s="21"/>
      <c r="E122" s="22"/>
      <c r="F122" s="22"/>
      <c r="G122" s="22"/>
      <c r="H122" s="22"/>
      <c r="I122" s="22"/>
      <c r="J122" s="22"/>
      <c r="K122" s="22"/>
      <c r="L122" s="22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2.75" customHeight="1">
      <c r="A123" s="19"/>
      <c r="B123" s="19"/>
      <c r="C123" s="21"/>
      <c r="D123" s="21"/>
      <c r="E123" s="22"/>
      <c r="F123" s="22"/>
      <c r="G123" s="22"/>
      <c r="H123" s="22"/>
      <c r="I123" s="22"/>
      <c r="J123" s="22"/>
      <c r="K123" s="22"/>
      <c r="L123" s="22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2.75" customHeight="1">
      <c r="A124" s="19"/>
      <c r="B124" s="19"/>
      <c r="C124" s="21"/>
      <c r="D124" s="21"/>
      <c r="E124" s="22"/>
      <c r="F124" s="22"/>
      <c r="G124" s="22"/>
      <c r="H124" s="22"/>
      <c r="I124" s="22"/>
      <c r="J124" s="22"/>
      <c r="K124" s="22"/>
      <c r="L124" s="22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2.75" customHeight="1">
      <c r="A125" s="19"/>
      <c r="B125" s="19"/>
      <c r="C125" s="21"/>
      <c r="D125" s="21"/>
      <c r="E125" s="22"/>
      <c r="F125" s="22"/>
      <c r="G125" s="22"/>
      <c r="H125" s="22"/>
      <c r="I125" s="22"/>
      <c r="J125" s="22"/>
      <c r="K125" s="22"/>
      <c r="L125" s="22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2.75" customHeight="1">
      <c r="A126" s="19"/>
      <c r="B126" s="19"/>
      <c r="C126" s="21"/>
      <c r="D126" s="21"/>
      <c r="E126" s="22"/>
      <c r="F126" s="22"/>
      <c r="G126" s="22"/>
      <c r="H126" s="22"/>
      <c r="I126" s="22"/>
      <c r="J126" s="22"/>
      <c r="K126" s="22"/>
      <c r="L126" s="22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2.75" customHeight="1">
      <c r="A127" s="19"/>
      <c r="B127" s="19"/>
      <c r="C127" s="21"/>
      <c r="D127" s="21"/>
      <c r="E127" s="22"/>
      <c r="F127" s="22"/>
      <c r="G127" s="22"/>
      <c r="H127" s="22"/>
      <c r="I127" s="22"/>
      <c r="J127" s="22"/>
      <c r="K127" s="22"/>
      <c r="L127" s="22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2.75" customHeight="1">
      <c r="A128" s="19"/>
      <c r="B128" s="19"/>
      <c r="C128" s="21"/>
      <c r="D128" s="21"/>
      <c r="E128" s="22"/>
      <c r="F128" s="22"/>
      <c r="G128" s="22"/>
      <c r="H128" s="22"/>
      <c r="I128" s="22"/>
      <c r="J128" s="22"/>
      <c r="K128" s="22"/>
      <c r="L128" s="22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2.75" customHeight="1">
      <c r="A129" s="19"/>
      <c r="B129" s="19"/>
      <c r="C129" s="21"/>
      <c r="D129" s="21"/>
      <c r="E129" s="22"/>
      <c r="F129" s="22"/>
      <c r="G129" s="22"/>
      <c r="H129" s="22"/>
      <c r="I129" s="22"/>
      <c r="J129" s="22"/>
      <c r="K129" s="22"/>
      <c r="L129" s="22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2.75" customHeight="1">
      <c r="A130" s="19"/>
      <c r="B130" s="19"/>
      <c r="C130" s="21"/>
      <c r="D130" s="21"/>
      <c r="E130" s="22"/>
      <c r="F130" s="22"/>
      <c r="G130" s="22"/>
      <c r="H130" s="22"/>
      <c r="I130" s="22"/>
      <c r="J130" s="22"/>
      <c r="K130" s="22"/>
      <c r="L130" s="22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2.75" customHeight="1">
      <c r="A131" s="19"/>
      <c r="B131" s="19"/>
      <c r="C131" s="21"/>
      <c r="D131" s="21"/>
      <c r="E131" s="22"/>
      <c r="F131" s="22"/>
      <c r="G131" s="22"/>
      <c r="H131" s="22"/>
      <c r="I131" s="22"/>
      <c r="J131" s="22"/>
      <c r="K131" s="22"/>
      <c r="L131" s="22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2.75" customHeight="1">
      <c r="A132" s="19"/>
      <c r="B132" s="19"/>
      <c r="C132" s="21"/>
      <c r="D132" s="21"/>
      <c r="E132" s="22"/>
      <c r="F132" s="22"/>
      <c r="G132" s="22"/>
      <c r="H132" s="22"/>
      <c r="I132" s="22"/>
      <c r="J132" s="22"/>
      <c r="K132" s="22"/>
      <c r="L132" s="22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2.75" customHeight="1">
      <c r="A133" s="19"/>
      <c r="B133" s="19"/>
      <c r="C133" s="21"/>
      <c r="D133" s="21"/>
      <c r="E133" s="22"/>
      <c r="F133" s="22"/>
      <c r="G133" s="22"/>
      <c r="H133" s="22"/>
      <c r="I133" s="22"/>
      <c r="J133" s="22"/>
      <c r="K133" s="22"/>
      <c r="L133" s="22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2.75" customHeight="1">
      <c r="A134" s="19"/>
      <c r="B134" s="19"/>
      <c r="C134" s="21"/>
      <c r="D134" s="21"/>
      <c r="E134" s="22"/>
      <c r="F134" s="22"/>
      <c r="G134" s="22"/>
      <c r="H134" s="22"/>
      <c r="I134" s="22"/>
      <c r="J134" s="22"/>
      <c r="K134" s="22"/>
      <c r="L134" s="22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2.75" customHeight="1">
      <c r="A135" s="19"/>
      <c r="B135" s="19"/>
      <c r="C135" s="21"/>
      <c r="D135" s="21"/>
      <c r="E135" s="22"/>
      <c r="F135" s="22"/>
      <c r="G135" s="22"/>
      <c r="H135" s="22"/>
      <c r="I135" s="22"/>
      <c r="J135" s="22"/>
      <c r="K135" s="22"/>
      <c r="L135" s="22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2.75" customHeight="1">
      <c r="A136" s="19"/>
      <c r="B136" s="19"/>
      <c r="C136" s="21"/>
      <c r="D136" s="21"/>
      <c r="E136" s="22"/>
      <c r="F136" s="22"/>
      <c r="G136" s="22"/>
      <c r="H136" s="22"/>
      <c r="I136" s="22"/>
      <c r="J136" s="22"/>
      <c r="K136" s="22"/>
      <c r="L136" s="22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2.75" customHeight="1">
      <c r="A137" s="19"/>
      <c r="B137" s="19"/>
      <c r="C137" s="21"/>
      <c r="D137" s="21"/>
      <c r="E137" s="22"/>
      <c r="F137" s="22"/>
      <c r="G137" s="22"/>
      <c r="H137" s="22"/>
      <c r="I137" s="22"/>
      <c r="J137" s="22"/>
      <c r="K137" s="22"/>
      <c r="L137" s="22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2.75" customHeight="1">
      <c r="A138" s="19"/>
      <c r="B138" s="19"/>
      <c r="C138" s="21"/>
      <c r="D138" s="21"/>
      <c r="E138" s="22"/>
      <c r="F138" s="22"/>
      <c r="G138" s="22"/>
      <c r="H138" s="22"/>
      <c r="I138" s="22"/>
      <c r="J138" s="22"/>
      <c r="K138" s="22"/>
      <c r="L138" s="22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2.75" customHeight="1">
      <c r="A139" s="19"/>
      <c r="B139" s="19"/>
      <c r="C139" s="21"/>
      <c r="D139" s="21"/>
      <c r="E139" s="22"/>
      <c r="F139" s="22"/>
      <c r="G139" s="22"/>
      <c r="H139" s="22"/>
      <c r="I139" s="22"/>
      <c r="J139" s="22"/>
      <c r="K139" s="22"/>
      <c r="L139" s="22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2.75" customHeight="1">
      <c r="A140" s="19"/>
      <c r="B140" s="19"/>
      <c r="C140" s="21"/>
      <c r="D140" s="21"/>
      <c r="E140" s="22"/>
      <c r="F140" s="22"/>
      <c r="G140" s="22"/>
      <c r="H140" s="22"/>
      <c r="I140" s="22"/>
      <c r="J140" s="22"/>
      <c r="K140" s="22"/>
      <c r="L140" s="22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2.75" customHeight="1">
      <c r="A141" s="19"/>
      <c r="B141" s="19"/>
      <c r="C141" s="21"/>
      <c r="D141" s="21"/>
      <c r="E141" s="22"/>
      <c r="F141" s="22"/>
      <c r="G141" s="22"/>
      <c r="H141" s="22"/>
      <c r="I141" s="22"/>
      <c r="J141" s="22"/>
      <c r="K141" s="22"/>
      <c r="L141" s="22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2.75" customHeight="1">
      <c r="A142" s="19"/>
      <c r="B142" s="19"/>
      <c r="C142" s="21"/>
      <c r="D142" s="21"/>
      <c r="E142" s="22"/>
      <c r="F142" s="22"/>
      <c r="G142" s="22"/>
      <c r="H142" s="22"/>
      <c r="I142" s="22"/>
      <c r="J142" s="22"/>
      <c r="K142" s="22"/>
      <c r="L142" s="22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2.75" customHeight="1">
      <c r="A143" s="19"/>
      <c r="B143" s="19"/>
      <c r="C143" s="21"/>
      <c r="D143" s="21"/>
      <c r="E143" s="22"/>
      <c r="F143" s="22"/>
      <c r="G143" s="22"/>
      <c r="H143" s="22"/>
      <c r="I143" s="22"/>
      <c r="J143" s="22"/>
      <c r="K143" s="22"/>
      <c r="L143" s="22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2.75" customHeight="1">
      <c r="A144" s="19"/>
      <c r="B144" s="19"/>
      <c r="C144" s="21"/>
      <c r="D144" s="21"/>
      <c r="E144" s="22"/>
      <c r="F144" s="22"/>
      <c r="G144" s="22"/>
      <c r="H144" s="22"/>
      <c r="I144" s="22"/>
      <c r="J144" s="22"/>
      <c r="K144" s="22"/>
      <c r="L144" s="22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2.75" customHeight="1">
      <c r="A145" s="19"/>
      <c r="B145" s="19"/>
      <c r="C145" s="21"/>
      <c r="D145" s="21"/>
      <c r="E145" s="22"/>
      <c r="F145" s="22"/>
      <c r="G145" s="22"/>
      <c r="H145" s="22"/>
      <c r="I145" s="22"/>
      <c r="J145" s="22"/>
      <c r="K145" s="22"/>
      <c r="L145" s="22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2.75" customHeight="1">
      <c r="A146" s="19"/>
      <c r="B146" s="19"/>
      <c r="C146" s="21"/>
      <c r="D146" s="21"/>
      <c r="E146" s="22"/>
      <c r="F146" s="22"/>
      <c r="G146" s="22"/>
      <c r="H146" s="22"/>
      <c r="I146" s="22"/>
      <c r="J146" s="22"/>
      <c r="K146" s="22"/>
      <c r="L146" s="22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2.75" customHeight="1">
      <c r="A147" s="19"/>
      <c r="B147" s="19"/>
      <c r="C147" s="21"/>
      <c r="D147" s="21"/>
      <c r="E147" s="22"/>
      <c r="F147" s="22"/>
      <c r="G147" s="22"/>
      <c r="H147" s="22"/>
      <c r="I147" s="22"/>
      <c r="J147" s="22"/>
      <c r="K147" s="22"/>
      <c r="L147" s="22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2.75" customHeight="1">
      <c r="A148" s="19"/>
      <c r="B148" s="19"/>
      <c r="C148" s="21"/>
      <c r="D148" s="21"/>
      <c r="E148" s="22"/>
      <c r="F148" s="22"/>
      <c r="G148" s="22"/>
      <c r="H148" s="22"/>
      <c r="I148" s="22"/>
      <c r="J148" s="22"/>
      <c r="K148" s="22"/>
      <c r="L148" s="22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2.75" customHeight="1">
      <c r="A149" s="19"/>
      <c r="B149" s="19"/>
      <c r="C149" s="21"/>
      <c r="D149" s="21"/>
      <c r="E149" s="22"/>
      <c r="F149" s="22"/>
      <c r="G149" s="22"/>
      <c r="H149" s="22"/>
      <c r="I149" s="22"/>
      <c r="J149" s="22"/>
      <c r="K149" s="22"/>
      <c r="L149" s="22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2.75" customHeight="1">
      <c r="A150" s="19"/>
      <c r="B150" s="19"/>
      <c r="C150" s="21"/>
      <c r="D150" s="21"/>
      <c r="E150" s="22"/>
      <c r="F150" s="22"/>
      <c r="G150" s="22"/>
      <c r="H150" s="22"/>
      <c r="I150" s="22"/>
      <c r="J150" s="22"/>
      <c r="K150" s="22"/>
      <c r="L150" s="22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2.75" customHeight="1">
      <c r="A151" s="19"/>
      <c r="B151" s="19"/>
      <c r="C151" s="21"/>
      <c r="D151" s="21"/>
      <c r="E151" s="22"/>
      <c r="F151" s="22"/>
      <c r="G151" s="22"/>
      <c r="H151" s="22"/>
      <c r="I151" s="22"/>
      <c r="J151" s="22"/>
      <c r="K151" s="22"/>
      <c r="L151" s="22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2.75" customHeight="1">
      <c r="A152" s="19"/>
      <c r="B152" s="19"/>
      <c r="C152" s="21"/>
      <c r="D152" s="21"/>
      <c r="E152" s="22"/>
      <c r="F152" s="22"/>
      <c r="G152" s="22"/>
      <c r="H152" s="22"/>
      <c r="I152" s="22"/>
      <c r="J152" s="22"/>
      <c r="K152" s="22"/>
      <c r="L152" s="22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2.75" customHeight="1">
      <c r="A153" s="19"/>
      <c r="B153" s="19"/>
      <c r="C153" s="21"/>
      <c r="D153" s="21"/>
      <c r="E153" s="22"/>
      <c r="F153" s="22"/>
      <c r="G153" s="22"/>
      <c r="H153" s="22"/>
      <c r="I153" s="22"/>
      <c r="J153" s="22"/>
      <c r="K153" s="22"/>
      <c r="L153" s="22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2.75" customHeight="1">
      <c r="A154" s="19"/>
      <c r="B154" s="19"/>
      <c r="C154" s="21"/>
      <c r="D154" s="21"/>
      <c r="E154" s="22"/>
      <c r="F154" s="22"/>
      <c r="G154" s="22"/>
      <c r="H154" s="22"/>
      <c r="I154" s="22"/>
      <c r="J154" s="22"/>
      <c r="K154" s="22"/>
      <c r="L154" s="22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2.75" customHeight="1">
      <c r="A155" s="19"/>
      <c r="B155" s="19"/>
      <c r="C155" s="21"/>
      <c r="D155" s="21"/>
      <c r="E155" s="22"/>
      <c r="F155" s="22"/>
      <c r="G155" s="22"/>
      <c r="H155" s="22"/>
      <c r="I155" s="22"/>
      <c r="J155" s="22"/>
      <c r="K155" s="22"/>
      <c r="L155" s="22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2.75" customHeight="1">
      <c r="A156" s="19"/>
      <c r="B156" s="19"/>
      <c r="C156" s="21"/>
      <c r="D156" s="21"/>
      <c r="E156" s="22"/>
      <c r="F156" s="22"/>
      <c r="G156" s="22"/>
      <c r="H156" s="22"/>
      <c r="I156" s="22"/>
      <c r="J156" s="22"/>
      <c r="K156" s="22"/>
      <c r="L156" s="22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2.75" customHeight="1">
      <c r="A157" s="19"/>
      <c r="B157" s="19"/>
      <c r="C157" s="21"/>
      <c r="D157" s="21"/>
      <c r="E157" s="22"/>
      <c r="F157" s="22"/>
      <c r="G157" s="22"/>
      <c r="H157" s="22"/>
      <c r="I157" s="22"/>
      <c r="J157" s="22"/>
      <c r="K157" s="22"/>
      <c r="L157" s="22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2.75" customHeight="1">
      <c r="A158" s="19"/>
      <c r="B158" s="19"/>
      <c r="C158" s="21"/>
      <c r="D158" s="21"/>
      <c r="E158" s="22"/>
      <c r="F158" s="22"/>
      <c r="G158" s="22"/>
      <c r="H158" s="22"/>
      <c r="I158" s="22"/>
      <c r="J158" s="22"/>
      <c r="K158" s="22"/>
      <c r="L158" s="22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2.75" customHeight="1">
      <c r="A159" s="19"/>
      <c r="B159" s="19"/>
      <c r="C159" s="21"/>
      <c r="D159" s="21"/>
      <c r="E159" s="22"/>
      <c r="F159" s="22"/>
      <c r="G159" s="22"/>
      <c r="H159" s="22"/>
      <c r="I159" s="22"/>
      <c r="J159" s="22"/>
      <c r="K159" s="22"/>
      <c r="L159" s="22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2.75" customHeight="1">
      <c r="A160" s="19"/>
      <c r="B160" s="19"/>
      <c r="C160" s="21"/>
      <c r="D160" s="21"/>
      <c r="E160" s="22"/>
      <c r="F160" s="22"/>
      <c r="G160" s="22"/>
      <c r="H160" s="22"/>
      <c r="I160" s="22"/>
      <c r="J160" s="22"/>
      <c r="K160" s="22"/>
      <c r="L160" s="22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2.75" customHeight="1">
      <c r="A161" s="19"/>
      <c r="B161" s="19"/>
      <c r="C161" s="21"/>
      <c r="D161" s="21"/>
      <c r="E161" s="22"/>
      <c r="F161" s="22"/>
      <c r="G161" s="22"/>
      <c r="H161" s="22"/>
      <c r="I161" s="22"/>
      <c r="J161" s="22"/>
      <c r="K161" s="22"/>
      <c r="L161" s="22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2.75" customHeight="1">
      <c r="A162" s="19"/>
      <c r="B162" s="19"/>
      <c r="C162" s="21"/>
      <c r="D162" s="21"/>
      <c r="E162" s="22"/>
      <c r="F162" s="22"/>
      <c r="G162" s="22"/>
      <c r="H162" s="22"/>
      <c r="I162" s="22"/>
      <c r="J162" s="22"/>
      <c r="K162" s="22"/>
      <c r="L162" s="22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2.75" customHeight="1">
      <c r="A163" s="19"/>
      <c r="B163" s="19"/>
      <c r="C163" s="21"/>
      <c r="D163" s="21"/>
      <c r="E163" s="22"/>
      <c r="F163" s="22"/>
      <c r="G163" s="22"/>
      <c r="H163" s="22"/>
      <c r="I163" s="22"/>
      <c r="J163" s="22"/>
      <c r="K163" s="22"/>
      <c r="L163" s="22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2.75" customHeight="1">
      <c r="A164" s="19"/>
      <c r="B164" s="19"/>
      <c r="C164" s="21"/>
      <c r="D164" s="21"/>
      <c r="E164" s="22"/>
      <c r="F164" s="22"/>
      <c r="G164" s="22"/>
      <c r="H164" s="22"/>
      <c r="I164" s="22"/>
      <c r="J164" s="22"/>
      <c r="K164" s="22"/>
      <c r="L164" s="22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2.75" customHeight="1">
      <c r="A165" s="19"/>
      <c r="B165" s="19"/>
      <c r="C165" s="21"/>
      <c r="D165" s="21"/>
      <c r="E165" s="22"/>
      <c r="F165" s="22"/>
      <c r="G165" s="22"/>
      <c r="H165" s="22"/>
      <c r="I165" s="22"/>
      <c r="J165" s="22"/>
      <c r="K165" s="22"/>
      <c r="L165" s="22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2.75" customHeight="1">
      <c r="A166" s="19"/>
      <c r="B166" s="19"/>
      <c r="C166" s="21"/>
      <c r="D166" s="21"/>
      <c r="E166" s="22"/>
      <c r="F166" s="22"/>
      <c r="G166" s="22"/>
      <c r="H166" s="22"/>
      <c r="I166" s="22"/>
      <c r="J166" s="22"/>
      <c r="K166" s="22"/>
      <c r="L166" s="22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2.75" customHeight="1">
      <c r="A167" s="19"/>
      <c r="B167" s="19"/>
      <c r="C167" s="21"/>
      <c r="D167" s="21"/>
      <c r="E167" s="22"/>
      <c r="F167" s="22"/>
      <c r="G167" s="22"/>
      <c r="H167" s="22"/>
      <c r="I167" s="22"/>
      <c r="J167" s="22"/>
      <c r="K167" s="22"/>
      <c r="L167" s="22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2.75" customHeight="1">
      <c r="A168" s="19"/>
      <c r="B168" s="19"/>
      <c r="C168" s="21"/>
      <c r="D168" s="21"/>
      <c r="E168" s="22"/>
      <c r="F168" s="22"/>
      <c r="G168" s="22"/>
      <c r="H168" s="22"/>
      <c r="I168" s="22"/>
      <c r="J168" s="22"/>
      <c r="K168" s="22"/>
      <c r="L168" s="22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2.75" customHeight="1">
      <c r="A169" s="19"/>
      <c r="B169" s="19"/>
      <c r="C169" s="21"/>
      <c r="D169" s="21"/>
      <c r="E169" s="22"/>
      <c r="F169" s="22"/>
      <c r="G169" s="22"/>
      <c r="H169" s="22"/>
      <c r="I169" s="22"/>
      <c r="J169" s="22"/>
      <c r="K169" s="22"/>
      <c r="L169" s="22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2.75" customHeight="1">
      <c r="A170" s="19"/>
      <c r="B170" s="19"/>
      <c r="C170" s="21"/>
      <c r="D170" s="21"/>
      <c r="E170" s="22"/>
      <c r="F170" s="22"/>
      <c r="G170" s="22"/>
      <c r="H170" s="22"/>
      <c r="I170" s="22"/>
      <c r="J170" s="22"/>
      <c r="K170" s="22"/>
      <c r="L170" s="22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2.75" customHeight="1">
      <c r="A171" s="19"/>
      <c r="B171" s="19"/>
      <c r="C171" s="21"/>
      <c r="D171" s="21"/>
      <c r="E171" s="22"/>
      <c r="F171" s="22"/>
      <c r="G171" s="22"/>
      <c r="H171" s="22"/>
      <c r="I171" s="22"/>
      <c r="J171" s="22"/>
      <c r="K171" s="22"/>
      <c r="L171" s="22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2.75" customHeight="1">
      <c r="A172" s="19"/>
      <c r="B172" s="19"/>
      <c r="C172" s="21"/>
      <c r="D172" s="21"/>
      <c r="E172" s="22"/>
      <c r="F172" s="22"/>
      <c r="G172" s="22"/>
      <c r="H172" s="22"/>
      <c r="I172" s="22"/>
      <c r="J172" s="22"/>
      <c r="K172" s="22"/>
      <c r="L172" s="22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2.75" customHeight="1">
      <c r="A173" s="19"/>
      <c r="B173" s="19"/>
      <c r="C173" s="21"/>
      <c r="D173" s="21"/>
      <c r="E173" s="22"/>
      <c r="F173" s="22"/>
      <c r="G173" s="22"/>
      <c r="H173" s="22"/>
      <c r="I173" s="22"/>
      <c r="J173" s="22"/>
      <c r="K173" s="22"/>
      <c r="L173" s="22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2.75" customHeight="1">
      <c r="A174" s="19"/>
      <c r="B174" s="19"/>
      <c r="C174" s="21"/>
      <c r="D174" s="21"/>
      <c r="E174" s="22"/>
      <c r="F174" s="22"/>
      <c r="G174" s="22"/>
      <c r="H174" s="22"/>
      <c r="I174" s="22"/>
      <c r="J174" s="22"/>
      <c r="K174" s="22"/>
      <c r="L174" s="22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2.75" customHeight="1">
      <c r="A175" s="19"/>
      <c r="B175" s="19"/>
      <c r="C175" s="21"/>
      <c r="D175" s="21"/>
      <c r="E175" s="22"/>
      <c r="F175" s="22"/>
      <c r="G175" s="22"/>
      <c r="H175" s="22"/>
      <c r="I175" s="22"/>
      <c r="J175" s="22"/>
      <c r="K175" s="22"/>
      <c r="L175" s="22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2.75" customHeight="1">
      <c r="A176" s="19"/>
      <c r="B176" s="19"/>
      <c r="C176" s="21"/>
      <c r="D176" s="21"/>
      <c r="E176" s="22"/>
      <c r="F176" s="22"/>
      <c r="G176" s="22"/>
      <c r="H176" s="22"/>
      <c r="I176" s="22"/>
      <c r="J176" s="22"/>
      <c r="K176" s="22"/>
      <c r="L176" s="22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2.75" customHeight="1">
      <c r="A177" s="19"/>
      <c r="B177" s="19"/>
      <c r="C177" s="21"/>
      <c r="D177" s="21"/>
      <c r="E177" s="22"/>
      <c r="F177" s="22"/>
      <c r="G177" s="22"/>
      <c r="H177" s="22"/>
      <c r="I177" s="22"/>
      <c r="J177" s="22"/>
      <c r="K177" s="22"/>
      <c r="L177" s="22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2.75" customHeight="1">
      <c r="A178" s="19"/>
      <c r="B178" s="19"/>
      <c r="C178" s="21"/>
      <c r="D178" s="21"/>
      <c r="E178" s="22"/>
      <c r="F178" s="22"/>
      <c r="G178" s="22"/>
      <c r="H178" s="22"/>
      <c r="I178" s="22"/>
      <c r="J178" s="22"/>
      <c r="K178" s="22"/>
      <c r="L178" s="22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2.75" customHeight="1">
      <c r="A179" s="19"/>
      <c r="B179" s="19"/>
      <c r="C179" s="21"/>
      <c r="D179" s="21"/>
      <c r="E179" s="22"/>
      <c r="F179" s="22"/>
      <c r="G179" s="22"/>
      <c r="H179" s="22"/>
      <c r="I179" s="22"/>
      <c r="J179" s="22"/>
      <c r="K179" s="22"/>
      <c r="L179" s="22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2.75" customHeight="1">
      <c r="A180" s="19"/>
      <c r="B180" s="19"/>
      <c r="C180" s="21"/>
      <c r="D180" s="21"/>
      <c r="E180" s="22"/>
      <c r="F180" s="22"/>
      <c r="G180" s="22"/>
      <c r="H180" s="22"/>
      <c r="I180" s="22"/>
      <c r="J180" s="22"/>
      <c r="K180" s="22"/>
      <c r="L180" s="22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2.75" customHeight="1">
      <c r="A181" s="19"/>
      <c r="B181" s="19"/>
      <c r="C181" s="21"/>
      <c r="D181" s="21"/>
      <c r="E181" s="22"/>
      <c r="F181" s="22"/>
      <c r="G181" s="22"/>
      <c r="H181" s="22"/>
      <c r="I181" s="22"/>
      <c r="J181" s="22"/>
      <c r="K181" s="22"/>
      <c r="L181" s="22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2.75" customHeight="1">
      <c r="A182" s="19"/>
      <c r="B182" s="19"/>
      <c r="C182" s="21"/>
      <c r="D182" s="21"/>
      <c r="E182" s="22"/>
      <c r="F182" s="22"/>
      <c r="G182" s="22"/>
      <c r="H182" s="22"/>
      <c r="I182" s="22"/>
      <c r="J182" s="22"/>
      <c r="K182" s="22"/>
      <c r="L182" s="22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2.75" customHeight="1">
      <c r="A183" s="19"/>
      <c r="B183" s="19"/>
      <c r="C183" s="21"/>
      <c r="D183" s="21"/>
      <c r="E183" s="22"/>
      <c r="F183" s="22"/>
      <c r="G183" s="22"/>
      <c r="H183" s="22"/>
      <c r="I183" s="22"/>
      <c r="J183" s="22"/>
      <c r="K183" s="22"/>
      <c r="L183" s="22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2.75" customHeight="1">
      <c r="A184" s="19"/>
      <c r="B184" s="19"/>
      <c r="C184" s="21"/>
      <c r="D184" s="21"/>
      <c r="E184" s="22"/>
      <c r="F184" s="22"/>
      <c r="G184" s="22"/>
      <c r="H184" s="22"/>
      <c r="I184" s="22"/>
      <c r="J184" s="22"/>
      <c r="K184" s="22"/>
      <c r="L184" s="22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2.75" customHeight="1">
      <c r="A185" s="19"/>
      <c r="B185" s="19"/>
      <c r="C185" s="21"/>
      <c r="D185" s="21"/>
      <c r="E185" s="22"/>
      <c r="F185" s="22"/>
      <c r="G185" s="22"/>
      <c r="H185" s="22"/>
      <c r="I185" s="22"/>
      <c r="J185" s="22"/>
      <c r="K185" s="22"/>
      <c r="L185" s="22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2.75" customHeight="1">
      <c r="A186" s="19"/>
      <c r="B186" s="19"/>
      <c r="C186" s="21"/>
      <c r="D186" s="21"/>
      <c r="E186" s="22"/>
      <c r="F186" s="22"/>
      <c r="G186" s="22"/>
      <c r="H186" s="22"/>
      <c r="I186" s="22"/>
      <c r="J186" s="22"/>
      <c r="K186" s="22"/>
      <c r="L186" s="22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2.75" customHeight="1">
      <c r="A187" s="19"/>
      <c r="B187" s="19"/>
      <c r="C187" s="21"/>
      <c r="D187" s="21"/>
      <c r="E187" s="22"/>
      <c r="F187" s="22"/>
      <c r="G187" s="22"/>
      <c r="H187" s="22"/>
      <c r="I187" s="22"/>
      <c r="J187" s="22"/>
      <c r="K187" s="22"/>
      <c r="L187" s="22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2.75" customHeight="1">
      <c r="A188" s="19"/>
      <c r="B188" s="19"/>
      <c r="C188" s="21"/>
      <c r="D188" s="21"/>
      <c r="E188" s="22"/>
      <c r="F188" s="22"/>
      <c r="G188" s="22"/>
      <c r="H188" s="22"/>
      <c r="I188" s="22"/>
      <c r="J188" s="22"/>
      <c r="K188" s="22"/>
      <c r="L188" s="22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2.75" customHeight="1">
      <c r="A189" s="19"/>
      <c r="B189" s="19"/>
      <c r="C189" s="21"/>
      <c r="D189" s="21"/>
      <c r="E189" s="22"/>
      <c r="F189" s="22"/>
      <c r="G189" s="22"/>
      <c r="H189" s="22"/>
      <c r="I189" s="22"/>
      <c r="J189" s="22"/>
      <c r="K189" s="22"/>
      <c r="L189" s="22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2.75" customHeight="1">
      <c r="A190" s="19"/>
      <c r="B190" s="19"/>
      <c r="C190" s="21"/>
      <c r="D190" s="21"/>
      <c r="E190" s="22"/>
      <c r="F190" s="22"/>
      <c r="G190" s="22"/>
      <c r="H190" s="22"/>
      <c r="I190" s="22"/>
      <c r="J190" s="22"/>
      <c r="K190" s="22"/>
      <c r="L190" s="22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2.75" customHeight="1">
      <c r="A191" s="19"/>
      <c r="B191" s="19"/>
      <c r="C191" s="21"/>
      <c r="D191" s="21"/>
      <c r="E191" s="22"/>
      <c r="F191" s="22"/>
      <c r="G191" s="22"/>
      <c r="H191" s="22"/>
      <c r="I191" s="22"/>
      <c r="J191" s="22"/>
      <c r="K191" s="22"/>
      <c r="L191" s="22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2.75" customHeight="1">
      <c r="A192" s="19"/>
      <c r="B192" s="19"/>
      <c r="C192" s="21"/>
      <c r="D192" s="21"/>
      <c r="E192" s="22"/>
      <c r="F192" s="22"/>
      <c r="G192" s="22"/>
      <c r="H192" s="22"/>
      <c r="I192" s="22"/>
      <c r="J192" s="22"/>
      <c r="K192" s="22"/>
      <c r="L192" s="22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2.75" customHeight="1">
      <c r="A193" s="19"/>
      <c r="B193" s="19"/>
      <c r="C193" s="21"/>
      <c r="D193" s="21"/>
      <c r="E193" s="22"/>
      <c r="F193" s="22"/>
      <c r="G193" s="22"/>
      <c r="H193" s="22"/>
      <c r="I193" s="22"/>
      <c r="J193" s="22"/>
      <c r="K193" s="22"/>
      <c r="L193" s="22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2.75" customHeight="1">
      <c r="A194" s="19"/>
      <c r="B194" s="19"/>
      <c r="C194" s="21"/>
      <c r="D194" s="21"/>
      <c r="E194" s="22"/>
      <c r="F194" s="22"/>
      <c r="G194" s="22"/>
      <c r="H194" s="22"/>
      <c r="I194" s="22"/>
      <c r="J194" s="22"/>
      <c r="K194" s="22"/>
      <c r="L194" s="22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2.75" customHeight="1">
      <c r="A195" s="19"/>
      <c r="B195" s="19"/>
      <c r="C195" s="21"/>
      <c r="D195" s="21"/>
      <c r="E195" s="22"/>
      <c r="F195" s="22"/>
      <c r="G195" s="22"/>
      <c r="H195" s="22"/>
      <c r="I195" s="22"/>
      <c r="J195" s="22"/>
      <c r="K195" s="22"/>
      <c r="L195" s="22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2.75" customHeight="1">
      <c r="A196" s="19"/>
      <c r="B196" s="19"/>
      <c r="C196" s="21"/>
      <c r="D196" s="21"/>
      <c r="E196" s="22"/>
      <c r="F196" s="22"/>
      <c r="G196" s="22"/>
      <c r="H196" s="22"/>
      <c r="I196" s="22"/>
      <c r="J196" s="22"/>
      <c r="K196" s="22"/>
      <c r="L196" s="22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2.75" customHeight="1">
      <c r="A197" s="19"/>
      <c r="B197" s="19"/>
      <c r="C197" s="21"/>
      <c r="D197" s="21"/>
      <c r="E197" s="22"/>
      <c r="F197" s="22"/>
      <c r="G197" s="22"/>
      <c r="H197" s="22"/>
      <c r="I197" s="22"/>
      <c r="J197" s="22"/>
      <c r="K197" s="22"/>
      <c r="L197" s="22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2.75" customHeight="1">
      <c r="A198" s="19"/>
      <c r="B198" s="19"/>
      <c r="C198" s="21"/>
      <c r="D198" s="21"/>
      <c r="E198" s="22"/>
      <c r="F198" s="22"/>
      <c r="G198" s="22"/>
      <c r="H198" s="22"/>
      <c r="I198" s="22"/>
      <c r="J198" s="22"/>
      <c r="K198" s="22"/>
      <c r="L198" s="22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2.75" customHeight="1">
      <c r="A199" s="19"/>
      <c r="B199" s="19"/>
      <c r="C199" s="21"/>
      <c r="D199" s="21"/>
      <c r="E199" s="22"/>
      <c r="F199" s="22"/>
      <c r="G199" s="22"/>
      <c r="H199" s="22"/>
      <c r="I199" s="22"/>
      <c r="J199" s="22"/>
      <c r="K199" s="22"/>
      <c r="L199" s="22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2.75" customHeight="1">
      <c r="A200" s="19"/>
      <c r="B200" s="19"/>
      <c r="C200" s="21"/>
      <c r="D200" s="21"/>
      <c r="E200" s="22"/>
      <c r="F200" s="22"/>
      <c r="G200" s="22"/>
      <c r="H200" s="22"/>
      <c r="I200" s="22"/>
      <c r="J200" s="22"/>
      <c r="K200" s="22"/>
      <c r="L200" s="22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2.75" customHeight="1">
      <c r="A201" s="19"/>
      <c r="B201" s="19"/>
      <c r="C201" s="21"/>
      <c r="D201" s="21"/>
      <c r="E201" s="22"/>
      <c r="F201" s="22"/>
      <c r="G201" s="22"/>
      <c r="H201" s="22"/>
      <c r="I201" s="22"/>
      <c r="J201" s="22"/>
      <c r="K201" s="22"/>
      <c r="L201" s="22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2.75" customHeight="1">
      <c r="A202" s="19"/>
      <c r="B202" s="19"/>
      <c r="C202" s="21"/>
      <c r="D202" s="21"/>
      <c r="E202" s="22"/>
      <c r="F202" s="22"/>
      <c r="G202" s="22"/>
      <c r="H202" s="22"/>
      <c r="I202" s="22"/>
      <c r="J202" s="22"/>
      <c r="K202" s="22"/>
      <c r="L202" s="22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2.75" customHeight="1">
      <c r="A203" s="19"/>
      <c r="B203" s="19"/>
      <c r="C203" s="21"/>
      <c r="D203" s="21"/>
      <c r="E203" s="22"/>
      <c r="F203" s="22"/>
      <c r="G203" s="22"/>
      <c r="H203" s="22"/>
      <c r="I203" s="22"/>
      <c r="J203" s="22"/>
      <c r="K203" s="22"/>
      <c r="L203" s="22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2.75" customHeight="1">
      <c r="A204" s="19"/>
      <c r="B204" s="19"/>
      <c r="C204" s="21"/>
      <c r="D204" s="21"/>
      <c r="E204" s="22"/>
      <c r="F204" s="22"/>
      <c r="G204" s="22"/>
      <c r="H204" s="22"/>
      <c r="I204" s="22"/>
      <c r="J204" s="22"/>
      <c r="K204" s="22"/>
      <c r="L204" s="22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2.75" customHeight="1">
      <c r="A205" s="19"/>
      <c r="B205" s="19"/>
      <c r="C205" s="21"/>
      <c r="D205" s="21"/>
      <c r="E205" s="22"/>
      <c r="F205" s="22"/>
      <c r="G205" s="22"/>
      <c r="H205" s="22"/>
      <c r="I205" s="22"/>
      <c r="J205" s="22"/>
      <c r="K205" s="22"/>
      <c r="L205" s="22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2.75" customHeight="1">
      <c r="A206" s="19"/>
      <c r="B206" s="19"/>
      <c r="C206" s="21"/>
      <c r="D206" s="21"/>
      <c r="E206" s="22"/>
      <c r="F206" s="22"/>
      <c r="G206" s="22"/>
      <c r="H206" s="22"/>
      <c r="I206" s="22"/>
      <c r="J206" s="22"/>
      <c r="K206" s="22"/>
      <c r="L206" s="22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2.75" customHeight="1">
      <c r="A207" s="19"/>
      <c r="B207" s="19"/>
      <c r="C207" s="21"/>
      <c r="D207" s="21"/>
      <c r="E207" s="22"/>
      <c r="F207" s="22"/>
      <c r="G207" s="22"/>
      <c r="H207" s="22"/>
      <c r="I207" s="22"/>
      <c r="J207" s="22"/>
      <c r="K207" s="22"/>
      <c r="L207" s="22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2.75" customHeight="1">
      <c r="A208" s="19"/>
      <c r="B208" s="19"/>
      <c r="C208" s="21"/>
      <c r="D208" s="21"/>
      <c r="E208" s="22"/>
      <c r="F208" s="22"/>
      <c r="G208" s="22"/>
      <c r="H208" s="22"/>
      <c r="I208" s="22"/>
      <c r="J208" s="22"/>
      <c r="K208" s="22"/>
      <c r="L208" s="22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2.75" customHeight="1">
      <c r="A209" s="19"/>
      <c r="B209" s="19"/>
      <c r="C209" s="21"/>
      <c r="D209" s="21"/>
      <c r="E209" s="22"/>
      <c r="F209" s="22"/>
      <c r="G209" s="22"/>
      <c r="H209" s="22"/>
      <c r="I209" s="22"/>
      <c r="J209" s="22"/>
      <c r="K209" s="22"/>
      <c r="L209" s="22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2.75" customHeight="1">
      <c r="A210" s="19"/>
      <c r="B210" s="19"/>
      <c r="C210" s="21"/>
      <c r="D210" s="21"/>
      <c r="E210" s="22"/>
      <c r="F210" s="22"/>
      <c r="G210" s="22"/>
      <c r="H210" s="22"/>
      <c r="I210" s="22"/>
      <c r="J210" s="22"/>
      <c r="K210" s="22"/>
      <c r="L210" s="22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2.75" customHeight="1">
      <c r="A211" s="19"/>
      <c r="B211" s="19"/>
      <c r="C211" s="21"/>
      <c r="D211" s="21"/>
      <c r="E211" s="22"/>
      <c r="F211" s="22"/>
      <c r="G211" s="22"/>
      <c r="H211" s="22"/>
      <c r="I211" s="22"/>
      <c r="J211" s="22"/>
      <c r="K211" s="22"/>
      <c r="L211" s="22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2.75" customHeight="1">
      <c r="A212" s="19"/>
      <c r="B212" s="19"/>
      <c r="C212" s="21"/>
      <c r="D212" s="21"/>
      <c r="E212" s="22"/>
      <c r="F212" s="22"/>
      <c r="G212" s="22"/>
      <c r="H212" s="22"/>
      <c r="I212" s="22"/>
      <c r="J212" s="22"/>
      <c r="K212" s="22"/>
      <c r="L212" s="22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2.75" customHeight="1">
      <c r="A213" s="19"/>
      <c r="B213" s="19"/>
      <c r="C213" s="21"/>
      <c r="D213" s="21"/>
      <c r="E213" s="22"/>
      <c r="F213" s="22"/>
      <c r="G213" s="22"/>
      <c r="H213" s="22"/>
      <c r="I213" s="22"/>
      <c r="J213" s="22"/>
      <c r="K213" s="22"/>
      <c r="L213" s="22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2.75" customHeight="1">
      <c r="A214" s="19"/>
      <c r="B214" s="19"/>
      <c r="C214" s="21"/>
      <c r="D214" s="21"/>
      <c r="E214" s="22"/>
      <c r="F214" s="22"/>
      <c r="G214" s="22"/>
      <c r="H214" s="22"/>
      <c r="I214" s="22"/>
      <c r="J214" s="22"/>
      <c r="K214" s="22"/>
      <c r="L214" s="22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2.75" customHeight="1">
      <c r="A215" s="19"/>
      <c r="B215" s="19"/>
      <c r="C215" s="21"/>
      <c r="D215" s="21"/>
      <c r="E215" s="22"/>
      <c r="F215" s="22"/>
      <c r="G215" s="22"/>
      <c r="H215" s="22"/>
      <c r="I215" s="22"/>
      <c r="J215" s="22"/>
      <c r="K215" s="22"/>
      <c r="L215" s="22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2.75" customHeight="1">
      <c r="A216" s="19"/>
      <c r="B216" s="19"/>
      <c r="C216" s="21"/>
      <c r="D216" s="21"/>
      <c r="E216" s="22"/>
      <c r="F216" s="22"/>
      <c r="G216" s="22"/>
      <c r="H216" s="22"/>
      <c r="I216" s="22"/>
      <c r="J216" s="22"/>
      <c r="K216" s="22"/>
      <c r="L216" s="22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2.75" customHeight="1">
      <c r="A217" s="19"/>
      <c r="B217" s="19"/>
      <c r="C217" s="21"/>
      <c r="D217" s="21"/>
      <c r="E217" s="22"/>
      <c r="F217" s="22"/>
      <c r="G217" s="22"/>
      <c r="H217" s="22"/>
      <c r="I217" s="22"/>
      <c r="J217" s="22"/>
      <c r="K217" s="22"/>
      <c r="L217" s="22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2.75" customHeight="1">
      <c r="A218" s="19"/>
      <c r="B218" s="19"/>
      <c r="C218" s="21"/>
      <c r="D218" s="21"/>
      <c r="E218" s="22"/>
      <c r="F218" s="22"/>
      <c r="G218" s="22"/>
      <c r="H218" s="22"/>
      <c r="I218" s="22"/>
      <c r="J218" s="22"/>
      <c r="K218" s="22"/>
      <c r="L218" s="22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2.75" customHeight="1">
      <c r="A219" s="19"/>
      <c r="B219" s="19"/>
      <c r="C219" s="21"/>
      <c r="D219" s="21"/>
      <c r="E219" s="22"/>
      <c r="F219" s="22"/>
      <c r="G219" s="22"/>
      <c r="H219" s="22"/>
      <c r="I219" s="22"/>
      <c r="J219" s="22"/>
      <c r="K219" s="22"/>
      <c r="L219" s="22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2.75" customHeight="1">
      <c r="A220" s="19"/>
      <c r="B220" s="19"/>
      <c r="C220" s="21"/>
      <c r="D220" s="21"/>
      <c r="E220" s="22"/>
      <c r="F220" s="22"/>
      <c r="G220" s="22"/>
      <c r="H220" s="22"/>
      <c r="I220" s="22"/>
      <c r="J220" s="22"/>
      <c r="K220" s="22"/>
      <c r="L220" s="22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2.75" customHeight="1">
      <c r="A221" s="19"/>
      <c r="B221" s="19"/>
      <c r="C221" s="21"/>
      <c r="D221" s="21"/>
      <c r="E221" s="22"/>
      <c r="F221" s="22"/>
      <c r="G221" s="22"/>
      <c r="H221" s="22"/>
      <c r="I221" s="22"/>
      <c r="J221" s="22"/>
      <c r="K221" s="22"/>
      <c r="L221" s="22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2.75" customHeight="1">
      <c r="A222" s="19"/>
      <c r="B222" s="19"/>
      <c r="C222" s="21"/>
      <c r="D222" s="21"/>
      <c r="E222" s="22"/>
      <c r="F222" s="22"/>
      <c r="G222" s="22"/>
      <c r="H222" s="22"/>
      <c r="I222" s="22"/>
      <c r="J222" s="22"/>
      <c r="K222" s="22"/>
      <c r="L222" s="22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2.75" customHeight="1">
      <c r="A223" s="19"/>
      <c r="B223" s="19"/>
      <c r="C223" s="21"/>
      <c r="D223" s="21"/>
      <c r="E223" s="22"/>
      <c r="F223" s="22"/>
      <c r="G223" s="22"/>
      <c r="H223" s="22"/>
      <c r="I223" s="22"/>
      <c r="J223" s="22"/>
      <c r="K223" s="22"/>
      <c r="L223" s="22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2.75" customHeight="1">
      <c r="A224" s="19"/>
      <c r="B224" s="19"/>
      <c r="C224" s="21"/>
      <c r="D224" s="21"/>
      <c r="E224" s="22"/>
      <c r="F224" s="22"/>
      <c r="G224" s="22"/>
      <c r="H224" s="22"/>
      <c r="I224" s="22"/>
      <c r="J224" s="22"/>
      <c r="K224" s="22"/>
      <c r="L224" s="22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2.75" customHeight="1">
      <c r="A225" s="19"/>
      <c r="B225" s="19"/>
      <c r="C225" s="21"/>
      <c r="D225" s="21"/>
      <c r="E225" s="22"/>
      <c r="F225" s="22"/>
      <c r="G225" s="22"/>
      <c r="H225" s="22"/>
      <c r="I225" s="22"/>
      <c r="J225" s="22"/>
      <c r="K225" s="22"/>
      <c r="L225" s="22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2.75" customHeight="1">
      <c r="A226" s="19"/>
      <c r="B226" s="19"/>
      <c r="C226" s="21"/>
      <c r="D226" s="21"/>
      <c r="E226" s="22"/>
      <c r="F226" s="22"/>
      <c r="G226" s="22"/>
      <c r="H226" s="22"/>
      <c r="I226" s="22"/>
      <c r="J226" s="22"/>
      <c r="K226" s="22"/>
      <c r="L226" s="22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2.75" customHeight="1">
      <c r="A227" s="19"/>
      <c r="B227" s="19"/>
      <c r="C227" s="21"/>
      <c r="D227" s="21"/>
      <c r="E227" s="22"/>
      <c r="F227" s="22"/>
      <c r="G227" s="22"/>
      <c r="H227" s="22"/>
      <c r="I227" s="22"/>
      <c r="J227" s="22"/>
      <c r="K227" s="22"/>
      <c r="L227" s="22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2.75" customHeight="1">
      <c r="A228" s="19"/>
      <c r="B228" s="19"/>
      <c r="C228" s="21"/>
      <c r="D228" s="21"/>
      <c r="E228" s="22"/>
      <c r="F228" s="22"/>
      <c r="G228" s="22"/>
      <c r="H228" s="22"/>
      <c r="I228" s="22"/>
      <c r="J228" s="22"/>
      <c r="K228" s="22"/>
      <c r="L228" s="22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2.75" customHeight="1">
      <c r="A229" s="19"/>
      <c r="B229" s="19"/>
      <c r="C229" s="21"/>
      <c r="D229" s="21"/>
      <c r="E229" s="22"/>
      <c r="F229" s="22"/>
      <c r="G229" s="22"/>
      <c r="H229" s="22"/>
      <c r="I229" s="22"/>
      <c r="J229" s="22"/>
      <c r="K229" s="22"/>
      <c r="L229" s="22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2.75" customHeight="1">
      <c r="A230" s="19"/>
      <c r="B230" s="19"/>
      <c r="C230" s="21"/>
      <c r="D230" s="21"/>
      <c r="E230" s="22"/>
      <c r="F230" s="22"/>
      <c r="G230" s="22"/>
      <c r="H230" s="22"/>
      <c r="I230" s="22"/>
      <c r="J230" s="22"/>
      <c r="K230" s="22"/>
      <c r="L230" s="22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2.75" customHeight="1">
      <c r="A231" s="19"/>
      <c r="B231" s="19"/>
      <c r="C231" s="21"/>
      <c r="D231" s="21"/>
      <c r="E231" s="22"/>
      <c r="F231" s="22"/>
      <c r="G231" s="22"/>
      <c r="H231" s="22"/>
      <c r="I231" s="22"/>
      <c r="J231" s="22"/>
      <c r="K231" s="22"/>
      <c r="L231" s="22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2.75" customHeight="1">
      <c r="A232" s="19"/>
      <c r="B232" s="19"/>
      <c r="C232" s="21"/>
      <c r="D232" s="21"/>
      <c r="E232" s="22"/>
      <c r="F232" s="22"/>
      <c r="G232" s="22"/>
      <c r="H232" s="22"/>
      <c r="I232" s="22"/>
      <c r="J232" s="22"/>
      <c r="K232" s="22"/>
      <c r="L232" s="22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2.75" customHeight="1">
      <c r="A233" s="19"/>
      <c r="B233" s="19"/>
      <c r="C233" s="21"/>
      <c r="D233" s="21"/>
      <c r="E233" s="22"/>
      <c r="F233" s="22"/>
      <c r="G233" s="22"/>
      <c r="H233" s="22"/>
      <c r="I233" s="22"/>
      <c r="J233" s="22"/>
      <c r="K233" s="22"/>
      <c r="L233" s="22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2.75" customHeight="1">
      <c r="A234" s="19"/>
      <c r="B234" s="19"/>
      <c r="C234" s="21"/>
      <c r="D234" s="21"/>
      <c r="E234" s="22"/>
      <c r="F234" s="22"/>
      <c r="G234" s="22"/>
      <c r="H234" s="22"/>
      <c r="I234" s="22"/>
      <c r="J234" s="22"/>
      <c r="K234" s="22"/>
      <c r="L234" s="22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2.75" customHeight="1">
      <c r="A235" s="19"/>
      <c r="B235" s="19"/>
      <c r="C235" s="21"/>
      <c r="D235" s="21"/>
      <c r="E235" s="22"/>
      <c r="F235" s="22"/>
      <c r="G235" s="22"/>
      <c r="H235" s="22"/>
      <c r="I235" s="22"/>
      <c r="J235" s="22"/>
      <c r="K235" s="22"/>
      <c r="L235" s="22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autoFilter ref="$A$10:$E$10"/>
  <mergeCells count="5">
    <mergeCell ref="A2:L2"/>
    <mergeCell ref="E4:J4"/>
    <mergeCell ref="F8:L8"/>
    <mergeCell ref="M8:S8"/>
    <mergeCell ref="E28:E29"/>
  </mergeCells>
  <conditionalFormatting sqref="F28:L28">
    <cfRule type="cellIs" dxfId="5" priority="1" stopIfTrue="1" operator="lessThan">
      <formula>F29</formula>
    </cfRule>
  </conditionalFormatting>
  <conditionalFormatting sqref="F28:L28">
    <cfRule type="cellIs" dxfId="6" priority="2" stopIfTrue="1" operator="greaterThan">
      <formula>F29</formula>
    </cfRule>
  </conditionalFormatting>
  <conditionalFormatting sqref="M28:S28">
    <cfRule type="cellIs" dxfId="5" priority="3" stopIfTrue="1" operator="lessThan">
      <formula>M29</formula>
    </cfRule>
  </conditionalFormatting>
  <conditionalFormatting sqref="M28:S28">
    <cfRule type="cellIs" dxfId="6" priority="4" stopIfTrue="1" operator="greaterThan">
      <formula>M29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6.88"/>
    <col customWidth="1" min="3" max="3" width="33.88"/>
    <col customWidth="1" min="4" max="4" width="21.13"/>
    <col customWidth="1" min="5" max="5" width="10.38"/>
    <col customWidth="1" min="6" max="26" width="11.38"/>
  </cols>
  <sheetData>
    <row r="1" ht="12.75" customHeight="1">
      <c r="A1" s="19"/>
      <c r="B1" s="19"/>
      <c r="C1" s="21"/>
      <c r="D1" s="21"/>
      <c r="E1" s="22"/>
      <c r="F1" s="22"/>
      <c r="G1" s="22"/>
      <c r="H1" s="22"/>
      <c r="I1" s="22"/>
      <c r="J1" s="22"/>
      <c r="K1" s="22"/>
      <c r="L1" s="22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43.5" customHeight="1">
      <c r="A2" s="26" t="str">
        <f>CONCATENATE("Sprint #",E5, "Tracking Sheet")</f>
        <v>Sprint #2Tracking Sheet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2.75" customHeight="1">
      <c r="A3" s="19"/>
      <c r="B3" s="19"/>
      <c r="C3" s="21"/>
      <c r="D3" s="21"/>
      <c r="E3" s="22"/>
      <c r="F3" s="22"/>
      <c r="G3" s="22"/>
      <c r="H3" s="22"/>
      <c r="I3" s="22"/>
      <c r="J3" s="22"/>
      <c r="K3" s="22"/>
      <c r="L3" s="22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2.75" customHeight="1">
      <c r="A4" s="29"/>
      <c r="B4" s="19"/>
      <c r="C4" s="31" t="s">
        <v>5</v>
      </c>
      <c r="D4" s="32"/>
      <c r="E4" s="33" t="s">
        <v>6</v>
      </c>
      <c r="F4" s="34"/>
      <c r="G4" s="34"/>
      <c r="H4" s="34"/>
      <c r="I4" s="34"/>
      <c r="J4" s="35"/>
      <c r="K4" s="22"/>
      <c r="L4" s="22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2.75" customHeight="1">
      <c r="A5" s="19"/>
      <c r="B5" s="19"/>
      <c r="C5" s="36" t="s">
        <v>19</v>
      </c>
      <c r="D5" s="36"/>
      <c r="E5" s="37">
        <v>2.0</v>
      </c>
      <c r="F5" s="22"/>
      <c r="G5" s="22"/>
      <c r="H5" s="22"/>
      <c r="I5" s="22"/>
      <c r="J5" s="22"/>
      <c r="K5" s="22"/>
      <c r="L5" s="22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2.75" customHeight="1">
      <c r="A6" s="19"/>
      <c r="B6" s="19"/>
      <c r="C6" s="36" t="s">
        <v>36</v>
      </c>
      <c r="D6" s="36"/>
      <c r="E6" s="38">
        <v>46271.0</v>
      </c>
      <c r="F6" s="22"/>
      <c r="G6" s="22"/>
      <c r="H6" s="22"/>
      <c r="I6" s="22"/>
      <c r="J6" s="22"/>
      <c r="K6" s="22"/>
      <c r="L6" s="22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2.75" customHeight="1">
      <c r="A7" s="19"/>
      <c r="B7" s="19"/>
      <c r="C7" s="40"/>
      <c r="D7" s="36" t="s">
        <v>39</v>
      </c>
      <c r="E7" s="37">
        <v>1.0</v>
      </c>
      <c r="F7" s="22"/>
      <c r="G7" s="22"/>
      <c r="H7" s="22"/>
      <c r="I7" s="22"/>
      <c r="J7" s="22"/>
      <c r="K7" s="22"/>
      <c r="L7" s="22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2.75" customHeight="1">
      <c r="A8" s="19"/>
      <c r="B8" s="19"/>
      <c r="C8" s="21"/>
      <c r="D8" s="21"/>
      <c r="E8" s="22"/>
      <c r="F8" s="41" t="s">
        <v>41</v>
      </c>
      <c r="G8" s="42"/>
      <c r="H8" s="42"/>
      <c r="I8" s="42"/>
      <c r="J8" s="42"/>
      <c r="K8" s="42"/>
      <c r="L8" s="43"/>
      <c r="M8" s="41" t="s">
        <v>44</v>
      </c>
      <c r="N8" s="42"/>
      <c r="O8" s="42"/>
      <c r="P8" s="42"/>
      <c r="Q8" s="42"/>
      <c r="R8" s="42"/>
      <c r="S8" s="43"/>
      <c r="T8" s="19"/>
      <c r="U8" s="19"/>
      <c r="V8" s="19"/>
      <c r="W8" s="19"/>
      <c r="X8" s="19"/>
      <c r="Y8" s="19"/>
      <c r="Z8" s="19"/>
    </row>
    <row r="9" ht="12.75" customHeight="1">
      <c r="A9" s="19"/>
      <c r="B9" s="19"/>
      <c r="C9" s="21"/>
      <c r="D9" s="21"/>
      <c r="E9" s="22"/>
      <c r="F9" s="44">
        <v>1.0</v>
      </c>
      <c r="G9" s="45">
        <v>2.0</v>
      </c>
      <c r="H9" s="44">
        <v>3.0</v>
      </c>
      <c r="I9" s="45">
        <v>4.0</v>
      </c>
      <c r="J9" s="44">
        <v>5.0</v>
      </c>
      <c r="K9" s="45">
        <v>6.0</v>
      </c>
      <c r="L9" s="44">
        <v>7.0</v>
      </c>
      <c r="M9" s="45">
        <v>8.0</v>
      </c>
      <c r="N9" s="44">
        <v>9.0</v>
      </c>
      <c r="O9" s="45">
        <v>10.0</v>
      </c>
      <c r="P9" s="44">
        <v>11.0</v>
      </c>
      <c r="Q9" s="45">
        <v>12.0</v>
      </c>
      <c r="R9" s="44">
        <v>13.0</v>
      </c>
      <c r="S9" s="45">
        <v>14.0</v>
      </c>
      <c r="T9" s="19"/>
      <c r="U9" s="19"/>
      <c r="V9" s="19"/>
      <c r="W9" s="19"/>
      <c r="X9" s="19"/>
      <c r="Y9" s="19"/>
      <c r="Z9" s="19"/>
    </row>
    <row r="10" ht="27.0" customHeight="1">
      <c r="A10" s="46" t="s">
        <v>48</v>
      </c>
      <c r="B10" s="47" t="s">
        <v>49</v>
      </c>
      <c r="C10" s="48" t="s">
        <v>16</v>
      </c>
      <c r="D10" s="49" t="s">
        <v>20</v>
      </c>
      <c r="E10" s="50" t="s">
        <v>50</v>
      </c>
      <c r="F10" s="51">
        <f>E6</f>
        <v>46271</v>
      </c>
      <c r="G10" s="52">
        <f t="shared" ref="G10:S10" si="1">F10+1</f>
        <v>46272</v>
      </c>
      <c r="H10" s="52">
        <f t="shared" si="1"/>
        <v>46273</v>
      </c>
      <c r="I10" s="52">
        <f t="shared" si="1"/>
        <v>46274</v>
      </c>
      <c r="J10" s="52">
        <f t="shared" si="1"/>
        <v>46275</v>
      </c>
      <c r="K10" s="52">
        <f t="shared" si="1"/>
        <v>46276</v>
      </c>
      <c r="L10" s="52">
        <f t="shared" si="1"/>
        <v>46277</v>
      </c>
      <c r="M10" s="52">
        <f t="shared" si="1"/>
        <v>46278</v>
      </c>
      <c r="N10" s="52">
        <f t="shared" si="1"/>
        <v>46279</v>
      </c>
      <c r="O10" s="52">
        <f t="shared" si="1"/>
        <v>46280</v>
      </c>
      <c r="P10" s="52">
        <f t="shared" si="1"/>
        <v>46281</v>
      </c>
      <c r="Q10" s="52">
        <f t="shared" si="1"/>
        <v>46282</v>
      </c>
      <c r="R10" s="52">
        <f t="shared" si="1"/>
        <v>46283</v>
      </c>
      <c r="S10" s="52">
        <f t="shared" si="1"/>
        <v>46284</v>
      </c>
      <c r="T10" s="40"/>
      <c r="U10" s="40"/>
      <c r="V10" s="40"/>
      <c r="W10" s="40"/>
      <c r="X10" s="40"/>
      <c r="Y10" s="40"/>
      <c r="Z10" s="40"/>
    </row>
    <row r="11" ht="12.75" customHeight="1">
      <c r="A11" s="53" t="s">
        <v>59</v>
      </c>
      <c r="B11" s="37" t="s">
        <v>51</v>
      </c>
      <c r="C11" s="54" t="s">
        <v>60</v>
      </c>
      <c r="D11" s="55"/>
      <c r="E11" s="56">
        <v>6.0</v>
      </c>
      <c r="F11" s="57"/>
      <c r="G11" s="57"/>
      <c r="H11" s="57"/>
      <c r="I11" s="57"/>
      <c r="J11" s="58"/>
      <c r="K11" s="58"/>
      <c r="L11" s="58"/>
      <c r="M11" s="57"/>
      <c r="N11" s="57"/>
      <c r="O11" s="57"/>
      <c r="P11" s="57"/>
      <c r="Q11" s="58"/>
      <c r="R11" s="58"/>
      <c r="S11" s="58"/>
      <c r="T11" s="19"/>
      <c r="U11" s="19"/>
      <c r="V11" s="19"/>
      <c r="W11" s="19"/>
      <c r="X11" s="19"/>
      <c r="Y11" s="19"/>
      <c r="Z11" s="19"/>
    </row>
    <row r="12" ht="12.75" customHeight="1">
      <c r="A12" s="53" t="s">
        <v>66</v>
      </c>
      <c r="B12" s="37" t="s">
        <v>51</v>
      </c>
      <c r="C12" s="54" t="s">
        <v>67</v>
      </c>
      <c r="D12" s="55"/>
      <c r="E12" s="56">
        <v>8.0</v>
      </c>
      <c r="F12" s="57"/>
      <c r="G12" s="57"/>
      <c r="H12" s="57"/>
      <c r="I12" s="57"/>
      <c r="J12" s="58"/>
      <c r="K12" s="58"/>
      <c r="L12" s="58"/>
      <c r="M12" s="57"/>
      <c r="N12" s="57"/>
      <c r="O12" s="57"/>
      <c r="P12" s="57"/>
      <c r="Q12" s="58"/>
      <c r="R12" s="58"/>
      <c r="S12" s="58"/>
      <c r="T12" s="19"/>
      <c r="U12" s="19"/>
      <c r="V12" s="19"/>
      <c r="W12" s="19"/>
      <c r="X12" s="19"/>
      <c r="Y12" s="19"/>
      <c r="Z12" s="19"/>
    </row>
    <row r="13" ht="12.75" customHeight="1">
      <c r="A13" s="53" t="s">
        <v>72</v>
      </c>
      <c r="B13" s="37" t="s">
        <v>51</v>
      </c>
      <c r="C13" s="54" t="s">
        <v>74</v>
      </c>
      <c r="D13" s="55"/>
      <c r="E13" s="56">
        <v>4.0</v>
      </c>
      <c r="F13" s="57"/>
      <c r="G13" s="58"/>
      <c r="H13" s="58"/>
      <c r="I13" s="58"/>
      <c r="J13" s="58"/>
      <c r="K13" s="58"/>
      <c r="L13" s="58"/>
      <c r="M13" s="57"/>
      <c r="N13" s="58"/>
      <c r="O13" s="58"/>
      <c r="P13" s="58"/>
      <c r="Q13" s="58"/>
      <c r="R13" s="58"/>
      <c r="S13" s="58"/>
      <c r="T13" s="19"/>
      <c r="U13" s="19"/>
      <c r="V13" s="19"/>
      <c r="W13" s="19"/>
      <c r="X13" s="19"/>
      <c r="Y13" s="19"/>
      <c r="Z13" s="19"/>
    </row>
    <row r="14" ht="12.75" customHeight="1">
      <c r="A14" s="53" t="s">
        <v>76</v>
      </c>
      <c r="B14" s="37" t="s">
        <v>55</v>
      </c>
      <c r="C14" s="54" t="s">
        <v>77</v>
      </c>
      <c r="D14" s="55"/>
      <c r="E14" s="56">
        <v>6.0</v>
      </c>
      <c r="F14" s="57"/>
      <c r="G14" s="58"/>
      <c r="H14" s="58"/>
      <c r="I14" s="58"/>
      <c r="J14" s="58"/>
      <c r="K14" s="58"/>
      <c r="L14" s="58"/>
      <c r="M14" s="57"/>
      <c r="N14" s="58"/>
      <c r="O14" s="58"/>
      <c r="P14" s="58"/>
      <c r="Q14" s="58"/>
      <c r="R14" s="58"/>
      <c r="S14" s="58"/>
      <c r="T14" s="19"/>
      <c r="U14" s="19"/>
      <c r="V14" s="19"/>
      <c r="W14" s="19"/>
      <c r="X14" s="19"/>
      <c r="Y14" s="19"/>
      <c r="Z14" s="19"/>
    </row>
    <row r="15" ht="12.75" customHeight="1">
      <c r="A15" s="53" t="s">
        <v>78</v>
      </c>
      <c r="B15" s="37" t="s">
        <v>55</v>
      </c>
      <c r="C15" s="54" t="s">
        <v>79</v>
      </c>
      <c r="D15" s="55"/>
      <c r="E15" s="56">
        <v>8.0</v>
      </c>
      <c r="F15" s="57"/>
      <c r="G15" s="58"/>
      <c r="H15" s="58"/>
      <c r="I15" s="58"/>
      <c r="J15" s="58"/>
      <c r="K15" s="58"/>
      <c r="L15" s="58"/>
      <c r="M15" s="57"/>
      <c r="N15" s="58"/>
      <c r="O15" s="58"/>
      <c r="P15" s="58"/>
      <c r="Q15" s="58"/>
      <c r="R15" s="58"/>
      <c r="S15" s="58"/>
      <c r="T15" s="19"/>
      <c r="U15" s="19"/>
      <c r="V15" s="19"/>
      <c r="W15" s="19"/>
      <c r="X15" s="19"/>
      <c r="Y15" s="19"/>
      <c r="Z15" s="19"/>
    </row>
    <row r="16" ht="12.75" customHeight="1">
      <c r="A16" s="53" t="s">
        <v>81</v>
      </c>
      <c r="B16" s="37" t="s">
        <v>55</v>
      </c>
      <c r="C16" s="54" t="s">
        <v>82</v>
      </c>
      <c r="D16" s="55"/>
      <c r="E16" s="56">
        <v>6.0</v>
      </c>
      <c r="F16" s="57"/>
      <c r="G16" s="58"/>
      <c r="H16" s="58"/>
      <c r="I16" s="58"/>
      <c r="J16" s="58"/>
      <c r="K16" s="58"/>
      <c r="L16" s="58"/>
      <c r="M16" s="57"/>
      <c r="N16" s="58"/>
      <c r="O16" s="58"/>
      <c r="P16" s="58"/>
      <c r="Q16" s="58"/>
      <c r="R16" s="58"/>
      <c r="S16" s="58"/>
      <c r="T16" s="19"/>
      <c r="U16" s="19"/>
      <c r="V16" s="19"/>
      <c r="W16" s="19"/>
      <c r="X16" s="19"/>
      <c r="Y16" s="19"/>
      <c r="Z16" s="19"/>
    </row>
    <row r="17" ht="12.75" customHeight="1">
      <c r="A17" s="53" t="s">
        <v>83</v>
      </c>
      <c r="B17" s="37" t="s">
        <v>61</v>
      </c>
      <c r="C17" s="59" t="s">
        <v>84</v>
      </c>
      <c r="D17" s="60"/>
      <c r="E17" s="56">
        <v>8.0</v>
      </c>
      <c r="F17" s="57"/>
      <c r="G17" s="61"/>
      <c r="H17" s="61"/>
      <c r="I17" s="61"/>
      <c r="J17" s="61"/>
      <c r="K17" s="61"/>
      <c r="L17" s="61"/>
      <c r="M17" s="57"/>
      <c r="N17" s="61"/>
      <c r="O17" s="61"/>
      <c r="P17" s="61"/>
      <c r="Q17" s="61"/>
      <c r="R17" s="61"/>
      <c r="S17" s="61"/>
      <c r="T17" s="19"/>
      <c r="U17" s="19"/>
      <c r="V17" s="19"/>
      <c r="W17" s="19"/>
      <c r="X17" s="19"/>
      <c r="Y17" s="19"/>
      <c r="Z17" s="19"/>
    </row>
    <row r="18" ht="12.75" customHeight="1">
      <c r="A18" s="62" t="s">
        <v>86</v>
      </c>
      <c r="B18" s="63" t="s">
        <v>61</v>
      </c>
      <c r="C18" s="64" t="s">
        <v>87</v>
      </c>
      <c r="D18" s="65"/>
      <c r="E18" s="66">
        <v>6.0</v>
      </c>
      <c r="F18" s="67"/>
      <c r="G18" s="68"/>
      <c r="H18" s="68"/>
      <c r="I18" s="68"/>
      <c r="J18" s="68"/>
      <c r="K18" s="68"/>
      <c r="L18" s="68"/>
      <c r="M18" s="67"/>
      <c r="N18" s="68"/>
      <c r="O18" s="68"/>
      <c r="P18" s="68"/>
      <c r="Q18" s="68"/>
      <c r="R18" s="68"/>
      <c r="S18" s="68"/>
      <c r="T18" s="19"/>
      <c r="U18" s="19"/>
      <c r="V18" s="19"/>
      <c r="W18" s="19"/>
      <c r="X18" s="19"/>
      <c r="Y18" s="19"/>
      <c r="Z18" s="19"/>
    </row>
    <row r="19" ht="12.75" customHeight="1">
      <c r="A19" s="62" t="s">
        <v>89</v>
      </c>
      <c r="B19" s="63" t="s">
        <v>61</v>
      </c>
      <c r="C19" s="64" t="s">
        <v>90</v>
      </c>
      <c r="D19" s="65"/>
      <c r="E19" s="66">
        <v>4.0</v>
      </c>
      <c r="F19" s="67"/>
      <c r="G19" s="68"/>
      <c r="H19" s="68"/>
      <c r="I19" s="68"/>
      <c r="J19" s="68"/>
      <c r="K19" s="68"/>
      <c r="L19" s="68"/>
      <c r="M19" s="67"/>
      <c r="N19" s="68"/>
      <c r="O19" s="68"/>
      <c r="P19" s="68"/>
      <c r="Q19" s="68"/>
      <c r="R19" s="68"/>
      <c r="S19" s="68"/>
      <c r="T19" s="19"/>
      <c r="U19" s="19"/>
      <c r="V19" s="19"/>
      <c r="W19" s="19"/>
      <c r="X19" s="19"/>
      <c r="Y19" s="19"/>
      <c r="Z19" s="19"/>
    </row>
    <row r="20" ht="12.75" customHeight="1">
      <c r="A20" s="62" t="s">
        <v>92</v>
      </c>
      <c r="B20" s="63" t="s">
        <v>68</v>
      </c>
      <c r="C20" s="64" t="s">
        <v>93</v>
      </c>
      <c r="D20" s="65"/>
      <c r="E20" s="66">
        <v>8.0</v>
      </c>
      <c r="F20" s="67"/>
      <c r="G20" s="68"/>
      <c r="H20" s="68"/>
      <c r="I20" s="68"/>
      <c r="J20" s="68"/>
      <c r="K20" s="68"/>
      <c r="L20" s="68"/>
      <c r="M20" s="67"/>
      <c r="N20" s="68"/>
      <c r="O20" s="68"/>
      <c r="P20" s="68"/>
      <c r="Q20" s="68"/>
      <c r="R20" s="68"/>
      <c r="S20" s="68"/>
      <c r="T20" s="19"/>
      <c r="U20" s="19"/>
      <c r="V20" s="19"/>
      <c r="W20" s="19"/>
      <c r="X20" s="19"/>
      <c r="Y20" s="19"/>
      <c r="Z20" s="19"/>
    </row>
    <row r="21" ht="12.75" customHeight="1">
      <c r="A21" s="62" t="s">
        <v>94</v>
      </c>
      <c r="B21" s="63" t="s">
        <v>68</v>
      </c>
      <c r="C21" s="64" t="s">
        <v>95</v>
      </c>
      <c r="D21" s="65"/>
      <c r="E21" s="66">
        <v>6.0</v>
      </c>
      <c r="F21" s="67"/>
      <c r="G21" s="68"/>
      <c r="H21" s="68"/>
      <c r="I21" s="68"/>
      <c r="J21" s="68"/>
      <c r="K21" s="68"/>
      <c r="L21" s="68"/>
      <c r="M21" s="67"/>
      <c r="N21" s="68"/>
      <c r="O21" s="68"/>
      <c r="P21" s="68"/>
      <c r="Q21" s="68"/>
      <c r="R21" s="68"/>
      <c r="S21" s="68"/>
      <c r="T21" s="19"/>
      <c r="U21" s="19"/>
      <c r="V21" s="19"/>
      <c r="W21" s="19"/>
      <c r="X21" s="19"/>
      <c r="Y21" s="19"/>
      <c r="Z21" s="19"/>
    </row>
    <row r="22" ht="12.75" customHeight="1">
      <c r="A22" s="62" t="s">
        <v>97</v>
      </c>
      <c r="B22" s="63" t="s">
        <v>98</v>
      </c>
      <c r="C22" s="64" t="s">
        <v>99</v>
      </c>
      <c r="D22" s="65"/>
      <c r="E22" s="66">
        <v>2.0</v>
      </c>
      <c r="F22" s="67"/>
      <c r="G22" s="68"/>
      <c r="H22" s="68"/>
      <c r="I22" s="68"/>
      <c r="J22" s="68"/>
      <c r="K22" s="68"/>
      <c r="L22" s="68"/>
      <c r="M22" s="67"/>
      <c r="N22" s="68"/>
      <c r="O22" s="68"/>
      <c r="P22" s="68"/>
      <c r="Q22" s="68"/>
      <c r="R22" s="68"/>
      <c r="S22" s="68"/>
      <c r="T22" s="19"/>
      <c r="U22" s="19"/>
      <c r="V22" s="19"/>
      <c r="W22" s="19"/>
      <c r="X22" s="19"/>
      <c r="Y22" s="19"/>
      <c r="Z22" s="19"/>
    </row>
    <row r="23" ht="12.75" customHeight="1">
      <c r="A23" s="62" t="s">
        <v>101</v>
      </c>
      <c r="B23" s="63" t="s">
        <v>98</v>
      </c>
      <c r="C23" s="64" t="s">
        <v>102</v>
      </c>
      <c r="D23" s="65"/>
      <c r="E23" s="66">
        <v>5.0</v>
      </c>
      <c r="F23" s="67"/>
      <c r="G23" s="68"/>
      <c r="H23" s="68"/>
      <c r="I23" s="68"/>
      <c r="J23" s="68"/>
      <c r="K23" s="68"/>
      <c r="L23" s="68"/>
      <c r="M23" s="67"/>
      <c r="N23" s="68"/>
      <c r="O23" s="68"/>
      <c r="P23" s="68"/>
      <c r="Q23" s="68"/>
      <c r="R23" s="68"/>
      <c r="S23" s="68"/>
      <c r="T23" s="19"/>
      <c r="U23" s="19"/>
      <c r="V23" s="19"/>
      <c r="W23" s="19"/>
      <c r="X23" s="19"/>
      <c r="Y23" s="19"/>
      <c r="Z23" s="19"/>
    </row>
    <row r="24" ht="12.75" customHeight="1">
      <c r="A24" s="62" t="s">
        <v>103</v>
      </c>
      <c r="B24" s="63" t="s">
        <v>98</v>
      </c>
      <c r="C24" s="64" t="s">
        <v>104</v>
      </c>
      <c r="D24" s="65"/>
      <c r="E24" s="66">
        <v>2.0</v>
      </c>
      <c r="F24" s="67"/>
      <c r="G24" s="68"/>
      <c r="H24" s="68"/>
      <c r="I24" s="68"/>
      <c r="J24" s="68"/>
      <c r="K24" s="68"/>
      <c r="L24" s="68"/>
      <c r="M24" s="67"/>
      <c r="N24" s="68"/>
      <c r="O24" s="68"/>
      <c r="P24" s="68"/>
      <c r="Q24" s="68"/>
      <c r="R24" s="68"/>
      <c r="S24" s="68"/>
      <c r="T24" s="19"/>
      <c r="U24" s="19"/>
      <c r="V24" s="19"/>
      <c r="W24" s="19"/>
      <c r="X24" s="19"/>
      <c r="Y24" s="19"/>
      <c r="Z24" s="19"/>
    </row>
    <row r="25" ht="12.75" customHeight="1">
      <c r="A25" s="62" t="s">
        <v>106</v>
      </c>
      <c r="B25" s="63" t="s">
        <v>98</v>
      </c>
      <c r="C25" s="64" t="s">
        <v>107</v>
      </c>
      <c r="D25" s="65"/>
      <c r="E25" s="66">
        <v>1.0</v>
      </c>
      <c r="F25" s="67"/>
      <c r="G25" s="68"/>
      <c r="H25" s="68"/>
      <c r="I25" s="68"/>
      <c r="J25" s="68"/>
      <c r="K25" s="68"/>
      <c r="L25" s="68"/>
      <c r="M25" s="67"/>
      <c r="N25" s="68"/>
      <c r="O25" s="68"/>
      <c r="P25" s="68"/>
      <c r="Q25" s="68"/>
      <c r="R25" s="68"/>
      <c r="S25" s="68"/>
      <c r="T25" s="19"/>
      <c r="U25" s="19"/>
      <c r="V25" s="19"/>
      <c r="W25" s="19"/>
      <c r="X25" s="19"/>
      <c r="Y25" s="19"/>
      <c r="Z25" s="19"/>
    </row>
    <row r="26" ht="12.75" customHeight="1">
      <c r="A26" s="19"/>
      <c r="B26" s="19"/>
      <c r="C26" s="72" t="s">
        <v>108</v>
      </c>
      <c r="D26" s="73"/>
      <c r="E26" s="74">
        <f>8*2*E7</f>
        <v>16</v>
      </c>
      <c r="F26" s="75" t="str">
        <f>IF(SUM(F11:F25)&gt;0,E26-SUM(F11:F25),NA())</f>
        <v>#N/A</v>
      </c>
      <c r="G26" s="75" t="str">
        <f t="shared" ref="G26:H26" si="2">IF(SUM(G11:G25)&gt;0,E26-SUM(F11:G25),NA())</f>
        <v>#N/A</v>
      </c>
      <c r="H26" s="75" t="str">
        <f t="shared" si="2"/>
        <v>#N/A</v>
      </c>
      <c r="I26" s="75" t="str">
        <f>IF(SUM(I11:I25)&gt;0,E26-SUM(F11:I25),NA())</f>
        <v>#N/A</v>
      </c>
      <c r="J26" s="75" t="str">
        <f>IF(SUM(J11:J25)&gt;0,E26-SUM(F11:J25),NA())</f>
        <v>#N/A</v>
      </c>
      <c r="K26" s="75" t="str">
        <f>IF(SUM(K11:K25)&gt;0,E26-SUM(F11:K25),NA())</f>
        <v>#N/A</v>
      </c>
      <c r="L26" s="75" t="str">
        <f>IF(SUM(L11:L25)&gt;0,E26-SUM(F11:L25),NA())</f>
        <v>#N/A</v>
      </c>
      <c r="M26" s="75" t="str">
        <f>IF(SUM(M11:M25)&gt;0,L26-SUM(M11:M25),NA())</f>
        <v>#N/A</v>
      </c>
      <c r="N26" s="75" t="str">
        <f t="shared" ref="N26:O26" si="3">IF(SUM(N11:N25)&gt;0,L26-SUM(M11:N25),NA())</f>
        <v>#N/A</v>
      </c>
      <c r="O26" s="75" t="str">
        <f t="shared" si="3"/>
        <v>#N/A</v>
      </c>
      <c r="P26" s="75" t="str">
        <f>IF(SUM(P11:P25)&gt;0,L26-SUM(M11:P25),NA())</f>
        <v>#N/A</v>
      </c>
      <c r="Q26" s="75" t="str">
        <f>IF(SUM(Q11:Q25)&gt;0,L26-SUM(M11:Q25),NA())</f>
        <v>#N/A</v>
      </c>
      <c r="R26" s="75" t="str">
        <f>IF(SUM(R11:R25)&gt;0,L26-SUM(M11:R25),NA())</f>
        <v>#N/A</v>
      </c>
      <c r="S26" s="75" t="str">
        <f>IF(SUM(S11:S25)&gt;0,L26-SUM(M11:S25),NA())</f>
        <v>#N/A</v>
      </c>
      <c r="T26" s="19"/>
      <c r="U26" s="19"/>
      <c r="V26" s="19"/>
      <c r="W26" s="19"/>
      <c r="X26" s="19"/>
      <c r="Y26" s="19"/>
      <c r="Z26" s="19"/>
    </row>
    <row r="27" ht="12.75" customHeight="1">
      <c r="A27" s="19"/>
      <c r="B27" s="19"/>
      <c r="C27" s="72" t="s">
        <v>111</v>
      </c>
      <c r="D27" s="76"/>
      <c r="E27" s="77"/>
      <c r="F27" s="78">
        <f>E26-(E26/14)</f>
        <v>14.85714286</v>
      </c>
      <c r="G27" s="78">
        <f>F27-(E26/14)</f>
        <v>13.71428571</v>
      </c>
      <c r="H27" s="78">
        <f>G27-(E26/14)</f>
        <v>12.57142857</v>
      </c>
      <c r="I27" s="78">
        <f>H27-(E26/14)</f>
        <v>11.42857143</v>
      </c>
      <c r="J27" s="78">
        <f>I27-(E26/14)</f>
        <v>10.28571429</v>
      </c>
      <c r="K27" s="78">
        <f>J27-(E26/14)</f>
        <v>9.142857143</v>
      </c>
      <c r="L27" s="78">
        <f>K27-(E26/14)</f>
        <v>8</v>
      </c>
      <c r="M27" s="78">
        <f>L27-(E26/14)</f>
        <v>6.857142857</v>
      </c>
      <c r="N27" s="78">
        <f>M27-(E26/14)</f>
        <v>5.714285714</v>
      </c>
      <c r="O27" s="78">
        <f>N27-(E26/14)</f>
        <v>4.571428571</v>
      </c>
      <c r="P27" s="78">
        <f>O27-(E26/14)</f>
        <v>3.428571429</v>
      </c>
      <c r="Q27" s="78">
        <f>P27-(E26/14)</f>
        <v>2.285714286</v>
      </c>
      <c r="R27" s="78">
        <f>Q27-(E26/14)</f>
        <v>1.142857143</v>
      </c>
      <c r="S27" s="78">
        <f>R27-(E26/14)</f>
        <v>0</v>
      </c>
      <c r="T27" s="19"/>
      <c r="U27" s="19"/>
      <c r="V27" s="19"/>
      <c r="W27" s="19"/>
      <c r="X27" s="19"/>
      <c r="Y27" s="19"/>
      <c r="Z27" s="19"/>
    </row>
    <row r="28" ht="12.75" customHeight="1">
      <c r="A28" s="19"/>
      <c r="B28" s="19"/>
      <c r="C28" s="21"/>
      <c r="D28" s="21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19"/>
      <c r="U28" s="19"/>
      <c r="V28" s="19"/>
      <c r="W28" s="19"/>
      <c r="X28" s="19"/>
      <c r="Y28" s="19"/>
      <c r="Z28" s="19"/>
    </row>
    <row r="29" ht="12.75" customHeight="1">
      <c r="A29" s="19"/>
      <c r="B29" s="19"/>
      <c r="C29" s="21"/>
      <c r="D29" s="21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19"/>
      <c r="U29" s="19"/>
      <c r="V29" s="19"/>
      <c r="W29" s="19"/>
      <c r="X29" s="19"/>
      <c r="Y29" s="19"/>
      <c r="Z29" s="19"/>
    </row>
    <row r="30" ht="12.75" customHeight="1">
      <c r="A30" s="19"/>
      <c r="B30" s="19"/>
      <c r="C30" s="21"/>
      <c r="D30" s="21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19"/>
      <c r="U30" s="19"/>
      <c r="V30" s="19"/>
      <c r="W30" s="19"/>
      <c r="X30" s="19"/>
      <c r="Y30" s="19"/>
      <c r="Z30" s="19"/>
    </row>
    <row r="31" ht="12.75" customHeight="1">
      <c r="A31" s="19"/>
      <c r="B31" s="19"/>
      <c r="C31" s="21"/>
      <c r="D31" s="21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19"/>
      <c r="U31" s="19"/>
      <c r="V31" s="19"/>
      <c r="W31" s="19"/>
      <c r="X31" s="19"/>
      <c r="Y31" s="19"/>
      <c r="Z31" s="19"/>
    </row>
    <row r="32" ht="12.75" customHeight="1">
      <c r="A32" s="19"/>
      <c r="B32" s="19"/>
      <c r="C32" s="21"/>
      <c r="D32" s="21"/>
      <c r="E32" s="22"/>
      <c r="F32" s="22"/>
      <c r="G32" s="22"/>
      <c r="H32" s="22"/>
      <c r="I32" s="22"/>
      <c r="J32" s="22"/>
      <c r="K32" s="22">
        <v>0.0</v>
      </c>
      <c r="L32" s="22">
        <f>SUM(E11:E19)</f>
        <v>56</v>
      </c>
      <c r="M32" s="22"/>
      <c r="N32" s="22"/>
      <c r="O32" s="22"/>
      <c r="P32" s="22"/>
      <c r="Q32" s="22"/>
      <c r="R32" s="22">
        <v>0.0</v>
      </c>
      <c r="S32" s="22">
        <f>SUM(L11:L19)</f>
        <v>0</v>
      </c>
      <c r="T32" s="19"/>
      <c r="U32" s="19"/>
      <c r="V32" s="19"/>
      <c r="W32" s="19"/>
      <c r="X32" s="19"/>
      <c r="Y32" s="19"/>
      <c r="Z32" s="19"/>
    </row>
    <row r="33" ht="12.75" customHeight="1">
      <c r="A33" s="19"/>
      <c r="B33" s="19"/>
      <c r="C33" s="21"/>
      <c r="D33" s="21"/>
      <c r="E33" s="22"/>
      <c r="F33" s="22"/>
      <c r="G33" s="22"/>
      <c r="H33" s="22"/>
      <c r="I33" s="22"/>
      <c r="J33" s="22"/>
      <c r="K33" s="22">
        <v>10.0</v>
      </c>
      <c r="L33" s="22">
        <v>0.0</v>
      </c>
      <c r="M33" s="22"/>
      <c r="N33" s="22"/>
      <c r="O33" s="22"/>
      <c r="P33" s="22"/>
      <c r="Q33" s="22"/>
      <c r="R33" s="22">
        <v>10.0</v>
      </c>
      <c r="S33" s="22">
        <v>0.0</v>
      </c>
      <c r="T33" s="19"/>
      <c r="U33" s="19"/>
      <c r="V33" s="19"/>
      <c r="W33" s="19"/>
      <c r="X33" s="19"/>
      <c r="Y33" s="19"/>
      <c r="Z33" s="19"/>
    </row>
    <row r="34" ht="12.75" customHeight="1">
      <c r="A34" s="19"/>
      <c r="B34" s="19"/>
      <c r="C34" s="21"/>
      <c r="D34" s="21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19"/>
      <c r="U34" s="19"/>
      <c r="V34" s="19"/>
      <c r="W34" s="19"/>
      <c r="X34" s="19"/>
      <c r="Y34" s="19"/>
      <c r="Z34" s="19"/>
    </row>
    <row r="35" ht="12.75" customHeight="1">
      <c r="A35" s="19"/>
      <c r="B35" s="19"/>
      <c r="C35" s="21"/>
      <c r="D35" s="21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19"/>
      <c r="U35" s="19"/>
      <c r="V35" s="19"/>
      <c r="W35" s="19"/>
      <c r="X35" s="19"/>
      <c r="Y35" s="19"/>
      <c r="Z35" s="19"/>
    </row>
    <row r="36" ht="12.75" customHeight="1">
      <c r="A36" s="19"/>
      <c r="B36" s="19"/>
      <c r="C36" s="21"/>
      <c r="D36" s="21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19"/>
      <c r="U36" s="19"/>
      <c r="V36" s="19"/>
      <c r="W36" s="19"/>
      <c r="X36" s="19"/>
      <c r="Y36" s="19"/>
      <c r="Z36" s="19"/>
    </row>
    <row r="37" ht="12.75" customHeight="1">
      <c r="A37" s="19"/>
      <c r="B37" s="19"/>
      <c r="C37" s="21"/>
      <c r="D37" s="21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19"/>
      <c r="U37" s="19"/>
      <c r="V37" s="19"/>
      <c r="W37" s="19"/>
      <c r="X37" s="19"/>
      <c r="Y37" s="19"/>
      <c r="Z37" s="19"/>
    </row>
    <row r="38" ht="12.75" customHeight="1">
      <c r="A38" s="19"/>
      <c r="B38" s="19"/>
      <c r="C38" s="21"/>
      <c r="D38" s="21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19"/>
      <c r="U38" s="19"/>
      <c r="V38" s="19"/>
      <c r="W38" s="19"/>
      <c r="X38" s="19"/>
      <c r="Y38" s="19"/>
      <c r="Z38" s="19"/>
    </row>
    <row r="39" ht="12.75" customHeight="1">
      <c r="A39" s="19"/>
      <c r="B39" s="19"/>
      <c r="C39" s="21"/>
      <c r="D39" s="21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19"/>
      <c r="U39" s="19"/>
      <c r="V39" s="19"/>
      <c r="W39" s="19"/>
      <c r="X39" s="19"/>
      <c r="Y39" s="19"/>
      <c r="Z39" s="19"/>
    </row>
    <row r="40" ht="12.75" customHeight="1">
      <c r="A40" s="19"/>
      <c r="B40" s="19"/>
      <c r="C40" s="21"/>
      <c r="D40" s="21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19"/>
      <c r="U40" s="19"/>
      <c r="V40" s="19"/>
      <c r="W40" s="19"/>
      <c r="X40" s="19"/>
      <c r="Y40" s="19"/>
      <c r="Z40" s="19"/>
    </row>
    <row r="41" ht="12.75" customHeight="1">
      <c r="A41" s="19"/>
      <c r="B41" s="19"/>
      <c r="C41" s="21"/>
      <c r="D41" s="21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19"/>
      <c r="U41" s="19"/>
      <c r="V41" s="19"/>
      <c r="W41" s="19"/>
      <c r="X41" s="19"/>
      <c r="Y41" s="19"/>
      <c r="Z41" s="19"/>
    </row>
    <row r="42" ht="12.75" customHeight="1">
      <c r="A42" s="19"/>
      <c r="B42" s="19"/>
      <c r="C42" s="21"/>
      <c r="D42" s="21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19"/>
      <c r="U42" s="19"/>
      <c r="V42" s="19"/>
      <c r="W42" s="19"/>
      <c r="X42" s="19"/>
      <c r="Y42" s="19"/>
      <c r="Z42" s="19"/>
    </row>
    <row r="43" ht="12.75" customHeight="1">
      <c r="A43" s="19"/>
      <c r="B43" s="19"/>
      <c r="C43" s="21"/>
      <c r="D43" s="21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19"/>
      <c r="U43" s="19"/>
      <c r="V43" s="19"/>
      <c r="W43" s="19"/>
      <c r="X43" s="19"/>
      <c r="Y43" s="19"/>
      <c r="Z43" s="19"/>
    </row>
    <row r="44" ht="12.75" customHeight="1">
      <c r="A44" s="19"/>
      <c r="B44" s="19"/>
      <c r="C44" s="21"/>
      <c r="D44" s="21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19"/>
      <c r="U44" s="19"/>
      <c r="V44" s="19"/>
      <c r="W44" s="19"/>
      <c r="X44" s="19"/>
      <c r="Y44" s="19"/>
      <c r="Z44" s="19"/>
    </row>
    <row r="45" ht="12.75" customHeight="1">
      <c r="A45" s="19"/>
      <c r="B45" s="19"/>
      <c r="C45" s="21"/>
      <c r="D45" s="21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19"/>
      <c r="U45" s="19"/>
      <c r="V45" s="19"/>
      <c r="W45" s="19"/>
      <c r="X45" s="19"/>
      <c r="Y45" s="19"/>
      <c r="Z45" s="19"/>
    </row>
    <row r="46" ht="12.75" customHeight="1">
      <c r="A46" s="19"/>
      <c r="B46" s="19"/>
      <c r="C46" s="21"/>
      <c r="D46" s="21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19"/>
      <c r="U46" s="19"/>
      <c r="V46" s="19"/>
      <c r="W46" s="19"/>
      <c r="X46" s="19"/>
      <c r="Y46" s="19"/>
      <c r="Z46" s="19"/>
    </row>
    <row r="47" ht="12.75" customHeight="1">
      <c r="A47" s="19"/>
      <c r="B47" s="19"/>
      <c r="C47" s="21"/>
      <c r="D47" s="21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19"/>
      <c r="U47" s="19"/>
      <c r="V47" s="19"/>
      <c r="W47" s="19"/>
      <c r="X47" s="19"/>
      <c r="Y47" s="19"/>
      <c r="Z47" s="19"/>
    </row>
    <row r="48" ht="12.75" customHeight="1">
      <c r="A48" s="19"/>
      <c r="B48" s="19"/>
      <c r="C48" s="21"/>
      <c r="D48" s="21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19"/>
      <c r="U48" s="19"/>
      <c r="V48" s="19"/>
      <c r="W48" s="19"/>
      <c r="X48" s="19"/>
      <c r="Y48" s="19"/>
      <c r="Z48" s="19"/>
    </row>
    <row r="49" ht="12.75" customHeight="1">
      <c r="A49" s="19"/>
      <c r="B49" s="19"/>
      <c r="C49" s="21"/>
      <c r="D49" s="21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19"/>
      <c r="U49" s="19"/>
      <c r="V49" s="19"/>
      <c r="W49" s="19"/>
      <c r="X49" s="19"/>
      <c r="Y49" s="19"/>
      <c r="Z49" s="19"/>
    </row>
    <row r="50" ht="12.75" customHeight="1">
      <c r="A50" s="19"/>
      <c r="B50" s="19"/>
      <c r="C50" s="21"/>
      <c r="D50" s="21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19"/>
      <c r="U50" s="19"/>
      <c r="V50" s="19"/>
      <c r="W50" s="19"/>
      <c r="X50" s="19"/>
      <c r="Y50" s="19"/>
      <c r="Z50" s="19"/>
    </row>
    <row r="51" ht="12.75" customHeight="1">
      <c r="A51" s="19"/>
      <c r="B51" s="19"/>
      <c r="C51" s="21"/>
      <c r="D51" s="21"/>
      <c r="E51" s="22"/>
      <c r="F51" s="22"/>
      <c r="G51" s="22"/>
      <c r="H51" s="22"/>
      <c r="I51" s="22"/>
      <c r="J51" s="22"/>
      <c r="K51" s="22"/>
      <c r="L51" s="22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2.75" customHeight="1">
      <c r="A52" s="19"/>
      <c r="B52" s="19"/>
      <c r="C52" s="21"/>
      <c r="D52" s="21"/>
      <c r="E52" s="22"/>
      <c r="F52" s="22"/>
      <c r="G52" s="22"/>
      <c r="H52" s="22"/>
      <c r="I52" s="22"/>
      <c r="J52" s="22"/>
      <c r="K52" s="22"/>
      <c r="L52" s="22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2.75" customHeight="1">
      <c r="A53" s="19"/>
      <c r="B53" s="19"/>
      <c r="C53" s="21"/>
      <c r="D53" s="21"/>
      <c r="E53" s="22"/>
      <c r="F53" s="22"/>
      <c r="G53" s="22"/>
      <c r="H53" s="22"/>
      <c r="I53" s="22"/>
      <c r="J53" s="22"/>
      <c r="K53" s="22"/>
      <c r="L53" s="22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2.75" customHeight="1">
      <c r="A54" s="19"/>
      <c r="B54" s="19"/>
      <c r="C54" s="21"/>
      <c r="D54" s="21"/>
      <c r="E54" s="22"/>
      <c r="F54" s="22"/>
      <c r="G54" s="22"/>
      <c r="H54" s="22"/>
      <c r="I54" s="22"/>
      <c r="J54" s="22"/>
      <c r="K54" s="22"/>
      <c r="L54" s="22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2.75" customHeight="1">
      <c r="A55" s="19"/>
      <c r="B55" s="19"/>
      <c r="C55" s="21"/>
      <c r="D55" s="21"/>
      <c r="E55" s="22"/>
      <c r="F55" s="22"/>
      <c r="G55" s="22"/>
      <c r="H55" s="22"/>
      <c r="I55" s="22"/>
      <c r="J55" s="22"/>
      <c r="K55" s="22"/>
      <c r="L55" s="22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2.75" customHeight="1">
      <c r="A56" s="19"/>
      <c r="B56" s="19"/>
      <c r="C56" s="21"/>
      <c r="D56" s="21"/>
      <c r="E56" s="22"/>
      <c r="F56" s="22"/>
      <c r="G56" s="22"/>
      <c r="H56" s="22"/>
      <c r="I56" s="22"/>
      <c r="J56" s="22"/>
      <c r="K56" s="22"/>
      <c r="L56" s="22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2.75" customHeight="1">
      <c r="A57" s="19"/>
      <c r="B57" s="19"/>
      <c r="C57" s="21"/>
      <c r="D57" s="21"/>
      <c r="E57" s="22"/>
      <c r="F57" s="22"/>
      <c r="G57" s="22"/>
      <c r="H57" s="22"/>
      <c r="I57" s="22"/>
      <c r="J57" s="22"/>
      <c r="K57" s="22"/>
      <c r="L57" s="22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2.75" customHeight="1">
      <c r="A58" s="19"/>
      <c r="B58" s="19"/>
      <c r="C58" s="21"/>
      <c r="D58" s="21"/>
      <c r="E58" s="22"/>
      <c r="F58" s="22"/>
      <c r="G58" s="22"/>
      <c r="H58" s="22"/>
      <c r="I58" s="22"/>
      <c r="J58" s="22"/>
      <c r="K58" s="22"/>
      <c r="L58" s="22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2.75" customHeight="1">
      <c r="A59" s="19"/>
      <c r="B59" s="19"/>
      <c r="C59" s="21"/>
      <c r="D59" s="21"/>
      <c r="E59" s="22"/>
      <c r="F59" s="22"/>
      <c r="G59" s="22"/>
      <c r="H59" s="22"/>
      <c r="I59" s="22"/>
      <c r="J59" s="22"/>
      <c r="K59" s="22"/>
      <c r="L59" s="22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2.75" customHeight="1">
      <c r="A60" s="19"/>
      <c r="B60" s="19"/>
      <c r="C60" s="21"/>
      <c r="D60" s="21"/>
      <c r="E60" s="22"/>
      <c r="F60" s="22"/>
      <c r="G60" s="22"/>
      <c r="H60" s="22"/>
      <c r="I60" s="22"/>
      <c r="J60" s="22"/>
      <c r="K60" s="22"/>
      <c r="L60" s="22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2.75" customHeight="1">
      <c r="A61" s="19"/>
      <c r="B61" s="19"/>
      <c r="C61" s="21"/>
      <c r="D61" s="21"/>
      <c r="E61" s="22"/>
      <c r="F61" s="22"/>
      <c r="G61" s="22"/>
      <c r="H61" s="22"/>
      <c r="I61" s="22"/>
      <c r="J61" s="22"/>
      <c r="K61" s="22"/>
      <c r="L61" s="22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2.75" customHeight="1">
      <c r="A62" s="19"/>
      <c r="B62" s="19"/>
      <c r="C62" s="21"/>
      <c r="D62" s="21"/>
      <c r="E62" s="22"/>
      <c r="F62" s="22"/>
      <c r="G62" s="22"/>
      <c r="H62" s="22"/>
      <c r="I62" s="22"/>
      <c r="J62" s="22"/>
      <c r="K62" s="22"/>
      <c r="L62" s="22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2.75" customHeight="1">
      <c r="A63" s="19"/>
      <c r="B63" s="19"/>
      <c r="C63" s="21"/>
      <c r="D63" s="21"/>
      <c r="E63" s="22"/>
      <c r="F63" s="22"/>
      <c r="G63" s="22"/>
      <c r="H63" s="22"/>
      <c r="I63" s="22"/>
      <c r="J63" s="22"/>
      <c r="K63" s="22"/>
      <c r="L63" s="22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2.75" customHeight="1">
      <c r="A64" s="19"/>
      <c r="B64" s="19"/>
      <c r="C64" s="21"/>
      <c r="D64" s="21"/>
      <c r="E64" s="22"/>
      <c r="F64" s="22"/>
      <c r="G64" s="22"/>
      <c r="H64" s="22"/>
      <c r="I64" s="22"/>
      <c r="J64" s="22"/>
      <c r="K64" s="22"/>
      <c r="L64" s="22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2.75" customHeight="1">
      <c r="A65" s="19"/>
      <c r="B65" s="19"/>
      <c r="C65" s="21"/>
      <c r="D65" s="21"/>
      <c r="E65" s="22"/>
      <c r="F65" s="22"/>
      <c r="G65" s="22"/>
      <c r="H65" s="22"/>
      <c r="I65" s="22"/>
      <c r="J65" s="22"/>
      <c r="K65" s="22"/>
      <c r="L65" s="22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2.75" customHeight="1">
      <c r="A66" s="19"/>
      <c r="B66" s="19"/>
      <c r="C66" s="21"/>
      <c r="D66" s="21"/>
      <c r="E66" s="22"/>
      <c r="F66" s="22"/>
      <c r="G66" s="22"/>
      <c r="H66" s="22"/>
      <c r="I66" s="22"/>
      <c r="J66" s="22"/>
      <c r="K66" s="22"/>
      <c r="L66" s="22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2.75" customHeight="1">
      <c r="A67" s="19"/>
      <c r="B67" s="19"/>
      <c r="C67" s="21"/>
      <c r="D67" s="21"/>
      <c r="E67" s="22"/>
      <c r="F67" s="22"/>
      <c r="G67" s="22"/>
      <c r="H67" s="22"/>
      <c r="I67" s="22"/>
      <c r="J67" s="22"/>
      <c r="K67" s="22"/>
      <c r="L67" s="22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2.75" customHeight="1">
      <c r="A68" s="19"/>
      <c r="B68" s="19"/>
      <c r="C68" s="21"/>
      <c r="D68" s="21"/>
      <c r="E68" s="22"/>
      <c r="F68" s="22"/>
      <c r="G68" s="22"/>
      <c r="H68" s="22"/>
      <c r="I68" s="22"/>
      <c r="J68" s="22"/>
      <c r="K68" s="22"/>
      <c r="L68" s="22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2.75" customHeight="1">
      <c r="A69" s="19"/>
      <c r="B69" s="19"/>
      <c r="C69" s="21"/>
      <c r="D69" s="21"/>
      <c r="E69" s="22"/>
      <c r="F69" s="22"/>
      <c r="G69" s="22"/>
      <c r="H69" s="22"/>
      <c r="I69" s="22"/>
      <c r="J69" s="22"/>
      <c r="K69" s="22"/>
      <c r="L69" s="22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2.75" customHeight="1">
      <c r="A70" s="19"/>
      <c r="B70" s="19"/>
      <c r="C70" s="21"/>
      <c r="D70" s="21"/>
      <c r="E70" s="22"/>
      <c r="F70" s="22"/>
      <c r="G70" s="22"/>
      <c r="H70" s="22"/>
      <c r="I70" s="22"/>
      <c r="J70" s="22"/>
      <c r="K70" s="22"/>
      <c r="L70" s="22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2.75" customHeight="1">
      <c r="A71" s="19"/>
      <c r="B71" s="19"/>
      <c r="C71" s="21"/>
      <c r="D71" s="21"/>
      <c r="E71" s="22"/>
      <c r="F71" s="22"/>
      <c r="G71" s="22"/>
      <c r="H71" s="22"/>
      <c r="I71" s="22"/>
      <c r="J71" s="22"/>
      <c r="K71" s="22"/>
      <c r="L71" s="22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2.75" customHeight="1">
      <c r="A72" s="19"/>
      <c r="B72" s="19"/>
      <c r="C72" s="21"/>
      <c r="D72" s="21"/>
      <c r="E72" s="22"/>
      <c r="F72" s="22"/>
      <c r="G72" s="22"/>
      <c r="H72" s="22"/>
      <c r="I72" s="22"/>
      <c r="J72" s="22"/>
      <c r="K72" s="22"/>
      <c r="L72" s="22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2.75" customHeight="1">
      <c r="A73" s="19"/>
      <c r="B73" s="19"/>
      <c r="C73" s="21"/>
      <c r="D73" s="21"/>
      <c r="E73" s="22"/>
      <c r="F73" s="22"/>
      <c r="G73" s="22"/>
      <c r="H73" s="22"/>
      <c r="I73" s="22"/>
      <c r="J73" s="22"/>
      <c r="K73" s="22"/>
      <c r="L73" s="22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2.75" customHeight="1">
      <c r="A74" s="19"/>
      <c r="B74" s="19"/>
      <c r="C74" s="21"/>
      <c r="D74" s="21"/>
      <c r="E74" s="22"/>
      <c r="F74" s="22"/>
      <c r="G74" s="22"/>
      <c r="H74" s="22"/>
      <c r="I74" s="22"/>
      <c r="J74" s="22"/>
      <c r="K74" s="22"/>
      <c r="L74" s="22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2.75" customHeight="1">
      <c r="A75" s="19"/>
      <c r="B75" s="19"/>
      <c r="C75" s="21"/>
      <c r="D75" s="21"/>
      <c r="E75" s="22"/>
      <c r="F75" s="22"/>
      <c r="G75" s="22"/>
      <c r="H75" s="22"/>
      <c r="I75" s="22"/>
      <c r="J75" s="22"/>
      <c r="K75" s="22"/>
      <c r="L75" s="22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2.75" customHeight="1">
      <c r="A76" s="19"/>
      <c r="B76" s="19"/>
      <c r="C76" s="21"/>
      <c r="D76" s="21"/>
      <c r="E76" s="22"/>
      <c r="F76" s="22"/>
      <c r="G76" s="22"/>
      <c r="H76" s="22"/>
      <c r="I76" s="22"/>
      <c r="J76" s="22"/>
      <c r="K76" s="22"/>
      <c r="L76" s="22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2.75" customHeight="1">
      <c r="A77" s="19"/>
      <c r="B77" s="19"/>
      <c r="C77" s="21"/>
      <c r="D77" s="21"/>
      <c r="E77" s="22"/>
      <c r="F77" s="22"/>
      <c r="G77" s="22"/>
      <c r="H77" s="22"/>
      <c r="I77" s="22"/>
      <c r="J77" s="22"/>
      <c r="K77" s="22"/>
      <c r="L77" s="22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2.75" customHeight="1">
      <c r="A78" s="19"/>
      <c r="B78" s="19"/>
      <c r="C78" s="21"/>
      <c r="D78" s="21"/>
      <c r="E78" s="22"/>
      <c r="F78" s="22"/>
      <c r="G78" s="22"/>
      <c r="H78" s="22"/>
      <c r="I78" s="22"/>
      <c r="J78" s="22"/>
      <c r="K78" s="22"/>
      <c r="L78" s="22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2.75" customHeight="1">
      <c r="A79" s="19"/>
      <c r="B79" s="19"/>
      <c r="C79" s="21"/>
      <c r="D79" s="21"/>
      <c r="E79" s="22"/>
      <c r="F79" s="22"/>
      <c r="G79" s="22"/>
      <c r="H79" s="22"/>
      <c r="I79" s="22"/>
      <c r="J79" s="22"/>
      <c r="K79" s="22"/>
      <c r="L79" s="22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2.75" customHeight="1">
      <c r="A80" s="19"/>
      <c r="B80" s="19"/>
      <c r="C80" s="21"/>
      <c r="D80" s="21"/>
      <c r="E80" s="22"/>
      <c r="F80" s="22"/>
      <c r="G80" s="22"/>
      <c r="H80" s="22"/>
      <c r="I80" s="22"/>
      <c r="J80" s="22"/>
      <c r="K80" s="22"/>
      <c r="L80" s="22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2.75" customHeight="1">
      <c r="A81" s="19"/>
      <c r="B81" s="19"/>
      <c r="C81" s="21"/>
      <c r="D81" s="21"/>
      <c r="E81" s="22"/>
      <c r="F81" s="22"/>
      <c r="G81" s="22"/>
      <c r="H81" s="22"/>
      <c r="I81" s="22"/>
      <c r="J81" s="22"/>
      <c r="K81" s="22"/>
      <c r="L81" s="22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2.75" customHeight="1">
      <c r="A82" s="19"/>
      <c r="B82" s="19"/>
      <c r="C82" s="21"/>
      <c r="D82" s="21"/>
      <c r="E82" s="22"/>
      <c r="F82" s="22"/>
      <c r="G82" s="22"/>
      <c r="H82" s="22"/>
      <c r="I82" s="22"/>
      <c r="J82" s="22"/>
      <c r="K82" s="22"/>
      <c r="L82" s="22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2.75" customHeight="1">
      <c r="A83" s="19"/>
      <c r="B83" s="19"/>
      <c r="C83" s="21"/>
      <c r="D83" s="21"/>
      <c r="E83" s="22"/>
      <c r="F83" s="22"/>
      <c r="G83" s="22"/>
      <c r="H83" s="22"/>
      <c r="I83" s="22"/>
      <c r="J83" s="22"/>
      <c r="K83" s="22"/>
      <c r="L83" s="22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2.75" customHeight="1">
      <c r="A84" s="19"/>
      <c r="B84" s="19"/>
      <c r="C84" s="21"/>
      <c r="D84" s="21"/>
      <c r="E84" s="22"/>
      <c r="F84" s="22"/>
      <c r="G84" s="22"/>
      <c r="H84" s="22"/>
      <c r="I84" s="22"/>
      <c r="J84" s="22"/>
      <c r="K84" s="22"/>
      <c r="L84" s="22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2.75" customHeight="1">
      <c r="A85" s="19"/>
      <c r="B85" s="19"/>
      <c r="C85" s="21"/>
      <c r="D85" s="21"/>
      <c r="E85" s="22"/>
      <c r="F85" s="22"/>
      <c r="G85" s="22"/>
      <c r="H85" s="22"/>
      <c r="I85" s="22"/>
      <c r="J85" s="22"/>
      <c r="K85" s="22"/>
      <c r="L85" s="22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2.75" customHeight="1">
      <c r="A86" s="19"/>
      <c r="B86" s="19"/>
      <c r="C86" s="21"/>
      <c r="D86" s="21"/>
      <c r="E86" s="22"/>
      <c r="F86" s="22"/>
      <c r="G86" s="22"/>
      <c r="H86" s="22"/>
      <c r="I86" s="22"/>
      <c r="J86" s="22"/>
      <c r="K86" s="22"/>
      <c r="L86" s="22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2.75" customHeight="1">
      <c r="A87" s="19"/>
      <c r="B87" s="19"/>
      <c r="C87" s="21"/>
      <c r="D87" s="21"/>
      <c r="E87" s="22"/>
      <c r="F87" s="22"/>
      <c r="G87" s="22"/>
      <c r="H87" s="22"/>
      <c r="I87" s="22"/>
      <c r="J87" s="22"/>
      <c r="K87" s="22"/>
      <c r="L87" s="22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2.75" customHeight="1">
      <c r="A88" s="19"/>
      <c r="B88" s="19"/>
      <c r="C88" s="21"/>
      <c r="D88" s="21"/>
      <c r="E88" s="22"/>
      <c r="F88" s="22"/>
      <c r="G88" s="22"/>
      <c r="H88" s="22"/>
      <c r="I88" s="22"/>
      <c r="J88" s="22"/>
      <c r="K88" s="22"/>
      <c r="L88" s="22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2.75" customHeight="1">
      <c r="A89" s="19"/>
      <c r="B89" s="19"/>
      <c r="C89" s="21"/>
      <c r="D89" s="21"/>
      <c r="E89" s="22"/>
      <c r="F89" s="22"/>
      <c r="G89" s="22"/>
      <c r="H89" s="22"/>
      <c r="I89" s="22"/>
      <c r="J89" s="22"/>
      <c r="K89" s="22"/>
      <c r="L89" s="22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2.75" customHeight="1">
      <c r="A90" s="19"/>
      <c r="B90" s="19"/>
      <c r="C90" s="21"/>
      <c r="D90" s="21"/>
      <c r="E90" s="22"/>
      <c r="F90" s="22"/>
      <c r="G90" s="22"/>
      <c r="H90" s="22"/>
      <c r="I90" s="22"/>
      <c r="J90" s="22"/>
      <c r="K90" s="22"/>
      <c r="L90" s="22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2.75" customHeight="1">
      <c r="A91" s="19"/>
      <c r="B91" s="19"/>
      <c r="C91" s="21"/>
      <c r="D91" s="21"/>
      <c r="E91" s="22"/>
      <c r="F91" s="22"/>
      <c r="G91" s="22"/>
      <c r="H91" s="22"/>
      <c r="I91" s="22"/>
      <c r="J91" s="22"/>
      <c r="K91" s="22"/>
      <c r="L91" s="22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2.75" customHeight="1">
      <c r="A92" s="19"/>
      <c r="B92" s="19"/>
      <c r="C92" s="21"/>
      <c r="D92" s="21"/>
      <c r="E92" s="22"/>
      <c r="F92" s="22"/>
      <c r="G92" s="22"/>
      <c r="H92" s="22"/>
      <c r="I92" s="22"/>
      <c r="J92" s="22"/>
      <c r="K92" s="22"/>
      <c r="L92" s="22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2.75" customHeight="1">
      <c r="A93" s="19"/>
      <c r="B93" s="19"/>
      <c r="C93" s="21"/>
      <c r="D93" s="21"/>
      <c r="E93" s="22"/>
      <c r="F93" s="22"/>
      <c r="G93" s="22"/>
      <c r="H93" s="22"/>
      <c r="I93" s="22"/>
      <c r="J93" s="22"/>
      <c r="K93" s="22"/>
      <c r="L93" s="22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2.75" customHeight="1">
      <c r="A94" s="19"/>
      <c r="B94" s="19"/>
      <c r="C94" s="21"/>
      <c r="D94" s="21"/>
      <c r="E94" s="22"/>
      <c r="F94" s="22"/>
      <c r="G94" s="22"/>
      <c r="H94" s="22"/>
      <c r="I94" s="22"/>
      <c r="J94" s="22"/>
      <c r="K94" s="22"/>
      <c r="L94" s="22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2.75" customHeight="1">
      <c r="A95" s="19"/>
      <c r="B95" s="19"/>
      <c r="C95" s="21"/>
      <c r="D95" s="21"/>
      <c r="E95" s="22"/>
      <c r="F95" s="22"/>
      <c r="G95" s="22"/>
      <c r="H95" s="22"/>
      <c r="I95" s="22"/>
      <c r="J95" s="22"/>
      <c r="K95" s="22"/>
      <c r="L95" s="22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2.75" customHeight="1">
      <c r="A96" s="19"/>
      <c r="B96" s="19"/>
      <c r="C96" s="21"/>
      <c r="D96" s="21"/>
      <c r="E96" s="22"/>
      <c r="F96" s="22"/>
      <c r="G96" s="22"/>
      <c r="H96" s="22"/>
      <c r="I96" s="22"/>
      <c r="J96" s="22"/>
      <c r="K96" s="22"/>
      <c r="L96" s="22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2.75" customHeight="1">
      <c r="A97" s="19"/>
      <c r="B97" s="19"/>
      <c r="C97" s="21"/>
      <c r="D97" s="21"/>
      <c r="E97" s="22"/>
      <c r="F97" s="22"/>
      <c r="G97" s="22"/>
      <c r="H97" s="22"/>
      <c r="I97" s="22"/>
      <c r="J97" s="22"/>
      <c r="K97" s="22"/>
      <c r="L97" s="22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2.75" customHeight="1">
      <c r="A98" s="19"/>
      <c r="B98" s="19"/>
      <c r="C98" s="21"/>
      <c r="D98" s="21"/>
      <c r="E98" s="22"/>
      <c r="F98" s="22"/>
      <c r="G98" s="22"/>
      <c r="H98" s="22"/>
      <c r="I98" s="22"/>
      <c r="J98" s="22"/>
      <c r="K98" s="22"/>
      <c r="L98" s="22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2.75" customHeight="1">
      <c r="A99" s="19"/>
      <c r="B99" s="19"/>
      <c r="C99" s="21"/>
      <c r="D99" s="21"/>
      <c r="E99" s="22"/>
      <c r="F99" s="22"/>
      <c r="G99" s="22"/>
      <c r="H99" s="22"/>
      <c r="I99" s="22"/>
      <c r="J99" s="22"/>
      <c r="K99" s="22"/>
      <c r="L99" s="22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2.75" customHeight="1">
      <c r="A100" s="19"/>
      <c r="B100" s="19"/>
      <c r="C100" s="21"/>
      <c r="D100" s="21"/>
      <c r="E100" s="22"/>
      <c r="F100" s="22"/>
      <c r="G100" s="22"/>
      <c r="H100" s="22"/>
      <c r="I100" s="22"/>
      <c r="J100" s="22"/>
      <c r="K100" s="22"/>
      <c r="L100" s="22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2.75" customHeight="1">
      <c r="A101" s="19"/>
      <c r="B101" s="19"/>
      <c r="C101" s="21"/>
      <c r="D101" s="21"/>
      <c r="E101" s="22"/>
      <c r="F101" s="22"/>
      <c r="G101" s="22"/>
      <c r="H101" s="22"/>
      <c r="I101" s="22"/>
      <c r="J101" s="22"/>
      <c r="K101" s="22"/>
      <c r="L101" s="22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2.75" customHeight="1">
      <c r="A102" s="19"/>
      <c r="B102" s="19"/>
      <c r="C102" s="21"/>
      <c r="D102" s="21"/>
      <c r="E102" s="22"/>
      <c r="F102" s="22"/>
      <c r="G102" s="22"/>
      <c r="H102" s="22"/>
      <c r="I102" s="22"/>
      <c r="J102" s="22"/>
      <c r="K102" s="22"/>
      <c r="L102" s="22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2.75" customHeight="1">
      <c r="A103" s="19"/>
      <c r="B103" s="19"/>
      <c r="C103" s="21"/>
      <c r="D103" s="21"/>
      <c r="E103" s="22"/>
      <c r="F103" s="22"/>
      <c r="G103" s="22"/>
      <c r="H103" s="22"/>
      <c r="I103" s="22"/>
      <c r="J103" s="22"/>
      <c r="K103" s="22"/>
      <c r="L103" s="22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2.75" customHeight="1">
      <c r="A104" s="19"/>
      <c r="B104" s="19"/>
      <c r="C104" s="21"/>
      <c r="D104" s="21"/>
      <c r="E104" s="22"/>
      <c r="F104" s="22"/>
      <c r="G104" s="22"/>
      <c r="H104" s="22"/>
      <c r="I104" s="22"/>
      <c r="J104" s="22"/>
      <c r="K104" s="22"/>
      <c r="L104" s="22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2.75" customHeight="1">
      <c r="A105" s="19"/>
      <c r="B105" s="19"/>
      <c r="C105" s="21"/>
      <c r="D105" s="21"/>
      <c r="E105" s="22"/>
      <c r="F105" s="22"/>
      <c r="G105" s="22"/>
      <c r="H105" s="22"/>
      <c r="I105" s="22"/>
      <c r="J105" s="22"/>
      <c r="K105" s="22"/>
      <c r="L105" s="22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2.75" customHeight="1">
      <c r="A106" s="19"/>
      <c r="B106" s="19"/>
      <c r="C106" s="21"/>
      <c r="D106" s="21"/>
      <c r="E106" s="22"/>
      <c r="F106" s="22"/>
      <c r="G106" s="22"/>
      <c r="H106" s="22"/>
      <c r="I106" s="22"/>
      <c r="J106" s="22"/>
      <c r="K106" s="22"/>
      <c r="L106" s="22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2.75" customHeight="1">
      <c r="A107" s="19"/>
      <c r="B107" s="19"/>
      <c r="C107" s="21"/>
      <c r="D107" s="21"/>
      <c r="E107" s="22"/>
      <c r="F107" s="22"/>
      <c r="G107" s="22"/>
      <c r="H107" s="22"/>
      <c r="I107" s="22"/>
      <c r="J107" s="22"/>
      <c r="K107" s="22"/>
      <c r="L107" s="22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2.75" customHeight="1">
      <c r="A108" s="19"/>
      <c r="B108" s="19"/>
      <c r="C108" s="21"/>
      <c r="D108" s="21"/>
      <c r="E108" s="22"/>
      <c r="F108" s="22"/>
      <c r="G108" s="22"/>
      <c r="H108" s="22"/>
      <c r="I108" s="22"/>
      <c r="J108" s="22"/>
      <c r="K108" s="22"/>
      <c r="L108" s="22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2.75" customHeight="1">
      <c r="A109" s="19"/>
      <c r="B109" s="19"/>
      <c r="C109" s="21"/>
      <c r="D109" s="21"/>
      <c r="E109" s="22"/>
      <c r="F109" s="22"/>
      <c r="G109" s="22"/>
      <c r="H109" s="22"/>
      <c r="I109" s="22"/>
      <c r="J109" s="22"/>
      <c r="K109" s="22"/>
      <c r="L109" s="22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2.75" customHeight="1">
      <c r="A110" s="19"/>
      <c r="B110" s="19"/>
      <c r="C110" s="21"/>
      <c r="D110" s="21"/>
      <c r="E110" s="22"/>
      <c r="F110" s="22"/>
      <c r="G110" s="22"/>
      <c r="H110" s="22"/>
      <c r="I110" s="22"/>
      <c r="J110" s="22"/>
      <c r="K110" s="22"/>
      <c r="L110" s="22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2.75" customHeight="1">
      <c r="A111" s="19"/>
      <c r="B111" s="19"/>
      <c r="C111" s="21"/>
      <c r="D111" s="21"/>
      <c r="E111" s="22"/>
      <c r="F111" s="22"/>
      <c r="G111" s="22"/>
      <c r="H111" s="22"/>
      <c r="I111" s="22"/>
      <c r="J111" s="22"/>
      <c r="K111" s="22"/>
      <c r="L111" s="22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2.75" customHeight="1">
      <c r="A112" s="19"/>
      <c r="B112" s="19"/>
      <c r="C112" s="21"/>
      <c r="D112" s="21"/>
      <c r="E112" s="22"/>
      <c r="F112" s="22"/>
      <c r="G112" s="22"/>
      <c r="H112" s="22"/>
      <c r="I112" s="22"/>
      <c r="J112" s="22"/>
      <c r="K112" s="22"/>
      <c r="L112" s="22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2.75" customHeight="1">
      <c r="A113" s="19"/>
      <c r="B113" s="19"/>
      <c r="C113" s="21"/>
      <c r="D113" s="21"/>
      <c r="E113" s="22"/>
      <c r="F113" s="22"/>
      <c r="G113" s="22"/>
      <c r="H113" s="22"/>
      <c r="I113" s="22"/>
      <c r="J113" s="22"/>
      <c r="K113" s="22"/>
      <c r="L113" s="22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2.75" customHeight="1">
      <c r="A114" s="19"/>
      <c r="B114" s="19"/>
      <c r="C114" s="21"/>
      <c r="D114" s="21"/>
      <c r="E114" s="22"/>
      <c r="F114" s="22"/>
      <c r="G114" s="22"/>
      <c r="H114" s="22"/>
      <c r="I114" s="22"/>
      <c r="J114" s="22"/>
      <c r="K114" s="22"/>
      <c r="L114" s="22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2.75" customHeight="1">
      <c r="A115" s="19"/>
      <c r="B115" s="19"/>
      <c r="C115" s="21"/>
      <c r="D115" s="21"/>
      <c r="E115" s="22"/>
      <c r="F115" s="22"/>
      <c r="G115" s="22"/>
      <c r="H115" s="22"/>
      <c r="I115" s="22"/>
      <c r="J115" s="22"/>
      <c r="K115" s="22"/>
      <c r="L115" s="22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2.75" customHeight="1">
      <c r="A116" s="19"/>
      <c r="B116" s="19"/>
      <c r="C116" s="21"/>
      <c r="D116" s="21"/>
      <c r="E116" s="22"/>
      <c r="F116" s="22"/>
      <c r="G116" s="22"/>
      <c r="H116" s="22"/>
      <c r="I116" s="22"/>
      <c r="J116" s="22"/>
      <c r="K116" s="22"/>
      <c r="L116" s="22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2.75" customHeight="1">
      <c r="A117" s="19"/>
      <c r="B117" s="19"/>
      <c r="C117" s="21"/>
      <c r="D117" s="21"/>
      <c r="E117" s="22"/>
      <c r="F117" s="22"/>
      <c r="G117" s="22"/>
      <c r="H117" s="22"/>
      <c r="I117" s="22"/>
      <c r="J117" s="22"/>
      <c r="K117" s="22"/>
      <c r="L117" s="22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2.75" customHeight="1">
      <c r="A118" s="19"/>
      <c r="B118" s="19"/>
      <c r="C118" s="21"/>
      <c r="D118" s="21"/>
      <c r="E118" s="22"/>
      <c r="F118" s="22"/>
      <c r="G118" s="22"/>
      <c r="H118" s="22"/>
      <c r="I118" s="22"/>
      <c r="J118" s="22"/>
      <c r="K118" s="22"/>
      <c r="L118" s="22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2.75" customHeight="1">
      <c r="A119" s="19"/>
      <c r="B119" s="19"/>
      <c r="C119" s="21"/>
      <c r="D119" s="21"/>
      <c r="E119" s="22"/>
      <c r="F119" s="22"/>
      <c r="G119" s="22"/>
      <c r="H119" s="22"/>
      <c r="I119" s="22"/>
      <c r="J119" s="22"/>
      <c r="K119" s="22"/>
      <c r="L119" s="22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2.75" customHeight="1">
      <c r="A120" s="19"/>
      <c r="B120" s="19"/>
      <c r="C120" s="21"/>
      <c r="D120" s="21"/>
      <c r="E120" s="22"/>
      <c r="F120" s="22"/>
      <c r="G120" s="22"/>
      <c r="H120" s="22"/>
      <c r="I120" s="22"/>
      <c r="J120" s="22"/>
      <c r="K120" s="22"/>
      <c r="L120" s="22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2.75" customHeight="1">
      <c r="A121" s="19"/>
      <c r="B121" s="19"/>
      <c r="C121" s="21"/>
      <c r="D121" s="21"/>
      <c r="E121" s="22"/>
      <c r="F121" s="22"/>
      <c r="G121" s="22"/>
      <c r="H121" s="22"/>
      <c r="I121" s="22"/>
      <c r="J121" s="22"/>
      <c r="K121" s="22"/>
      <c r="L121" s="22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2.75" customHeight="1">
      <c r="A122" s="19"/>
      <c r="B122" s="19"/>
      <c r="C122" s="21"/>
      <c r="D122" s="21"/>
      <c r="E122" s="22"/>
      <c r="F122" s="22"/>
      <c r="G122" s="22"/>
      <c r="H122" s="22"/>
      <c r="I122" s="22"/>
      <c r="J122" s="22"/>
      <c r="K122" s="22"/>
      <c r="L122" s="22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2.75" customHeight="1">
      <c r="A123" s="19"/>
      <c r="B123" s="19"/>
      <c r="C123" s="21"/>
      <c r="D123" s="21"/>
      <c r="E123" s="22"/>
      <c r="F123" s="22"/>
      <c r="G123" s="22"/>
      <c r="H123" s="22"/>
      <c r="I123" s="22"/>
      <c r="J123" s="22"/>
      <c r="K123" s="22"/>
      <c r="L123" s="22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2.75" customHeight="1">
      <c r="A124" s="19"/>
      <c r="B124" s="19"/>
      <c r="C124" s="21"/>
      <c r="D124" s="21"/>
      <c r="E124" s="22"/>
      <c r="F124" s="22"/>
      <c r="G124" s="22"/>
      <c r="H124" s="22"/>
      <c r="I124" s="22"/>
      <c r="J124" s="22"/>
      <c r="K124" s="22"/>
      <c r="L124" s="22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2.75" customHeight="1">
      <c r="A125" s="19"/>
      <c r="B125" s="19"/>
      <c r="C125" s="21"/>
      <c r="D125" s="21"/>
      <c r="E125" s="22"/>
      <c r="F125" s="22"/>
      <c r="G125" s="22"/>
      <c r="H125" s="22"/>
      <c r="I125" s="22"/>
      <c r="J125" s="22"/>
      <c r="K125" s="22"/>
      <c r="L125" s="22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2.75" customHeight="1">
      <c r="A126" s="19"/>
      <c r="B126" s="19"/>
      <c r="C126" s="21"/>
      <c r="D126" s="21"/>
      <c r="E126" s="22"/>
      <c r="F126" s="22"/>
      <c r="G126" s="22"/>
      <c r="H126" s="22"/>
      <c r="I126" s="22"/>
      <c r="J126" s="22"/>
      <c r="K126" s="22"/>
      <c r="L126" s="22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2.75" customHeight="1">
      <c r="A127" s="19"/>
      <c r="B127" s="19"/>
      <c r="C127" s="21"/>
      <c r="D127" s="21"/>
      <c r="E127" s="22"/>
      <c r="F127" s="22"/>
      <c r="G127" s="22"/>
      <c r="H127" s="22"/>
      <c r="I127" s="22"/>
      <c r="J127" s="22"/>
      <c r="K127" s="22"/>
      <c r="L127" s="22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2.75" customHeight="1">
      <c r="A128" s="19"/>
      <c r="B128" s="19"/>
      <c r="C128" s="21"/>
      <c r="D128" s="21"/>
      <c r="E128" s="22"/>
      <c r="F128" s="22"/>
      <c r="G128" s="22"/>
      <c r="H128" s="22"/>
      <c r="I128" s="22"/>
      <c r="J128" s="22"/>
      <c r="K128" s="22"/>
      <c r="L128" s="22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2.75" customHeight="1">
      <c r="A129" s="19"/>
      <c r="B129" s="19"/>
      <c r="C129" s="21"/>
      <c r="D129" s="21"/>
      <c r="E129" s="22"/>
      <c r="F129" s="22"/>
      <c r="G129" s="22"/>
      <c r="H129" s="22"/>
      <c r="I129" s="22"/>
      <c r="J129" s="22"/>
      <c r="K129" s="22"/>
      <c r="L129" s="22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2.75" customHeight="1">
      <c r="A130" s="19"/>
      <c r="B130" s="19"/>
      <c r="C130" s="21"/>
      <c r="D130" s="21"/>
      <c r="E130" s="22"/>
      <c r="F130" s="22"/>
      <c r="G130" s="22"/>
      <c r="H130" s="22"/>
      <c r="I130" s="22"/>
      <c r="J130" s="22"/>
      <c r="K130" s="22"/>
      <c r="L130" s="22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2.75" customHeight="1">
      <c r="A131" s="19"/>
      <c r="B131" s="19"/>
      <c r="C131" s="21"/>
      <c r="D131" s="21"/>
      <c r="E131" s="22"/>
      <c r="F131" s="22"/>
      <c r="G131" s="22"/>
      <c r="H131" s="22"/>
      <c r="I131" s="22"/>
      <c r="J131" s="22"/>
      <c r="K131" s="22"/>
      <c r="L131" s="22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2.75" customHeight="1">
      <c r="A132" s="19"/>
      <c r="B132" s="19"/>
      <c r="C132" s="21"/>
      <c r="D132" s="21"/>
      <c r="E132" s="22"/>
      <c r="F132" s="22"/>
      <c r="G132" s="22"/>
      <c r="H132" s="22"/>
      <c r="I132" s="22"/>
      <c r="J132" s="22"/>
      <c r="K132" s="22"/>
      <c r="L132" s="22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2.75" customHeight="1">
      <c r="A133" s="19"/>
      <c r="B133" s="19"/>
      <c r="C133" s="21"/>
      <c r="D133" s="21"/>
      <c r="E133" s="22"/>
      <c r="F133" s="22"/>
      <c r="G133" s="22"/>
      <c r="H133" s="22"/>
      <c r="I133" s="22"/>
      <c r="J133" s="22"/>
      <c r="K133" s="22"/>
      <c r="L133" s="22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2.75" customHeight="1">
      <c r="A134" s="19"/>
      <c r="B134" s="19"/>
      <c r="C134" s="21"/>
      <c r="D134" s="21"/>
      <c r="E134" s="22"/>
      <c r="F134" s="22"/>
      <c r="G134" s="22"/>
      <c r="H134" s="22"/>
      <c r="I134" s="22"/>
      <c r="J134" s="22"/>
      <c r="K134" s="22"/>
      <c r="L134" s="22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2.75" customHeight="1">
      <c r="A135" s="19"/>
      <c r="B135" s="19"/>
      <c r="C135" s="21"/>
      <c r="D135" s="21"/>
      <c r="E135" s="22"/>
      <c r="F135" s="22"/>
      <c r="G135" s="22"/>
      <c r="H135" s="22"/>
      <c r="I135" s="22"/>
      <c r="J135" s="22"/>
      <c r="K135" s="22"/>
      <c r="L135" s="22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2.75" customHeight="1">
      <c r="A136" s="19"/>
      <c r="B136" s="19"/>
      <c r="C136" s="21"/>
      <c r="D136" s="21"/>
      <c r="E136" s="22"/>
      <c r="F136" s="22"/>
      <c r="G136" s="22"/>
      <c r="H136" s="22"/>
      <c r="I136" s="22"/>
      <c r="J136" s="22"/>
      <c r="K136" s="22"/>
      <c r="L136" s="22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2.75" customHeight="1">
      <c r="A137" s="19"/>
      <c r="B137" s="19"/>
      <c r="C137" s="21"/>
      <c r="D137" s="21"/>
      <c r="E137" s="22"/>
      <c r="F137" s="22"/>
      <c r="G137" s="22"/>
      <c r="H137" s="22"/>
      <c r="I137" s="22"/>
      <c r="J137" s="22"/>
      <c r="K137" s="22"/>
      <c r="L137" s="22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2.75" customHeight="1">
      <c r="A138" s="19"/>
      <c r="B138" s="19"/>
      <c r="C138" s="21"/>
      <c r="D138" s="21"/>
      <c r="E138" s="22"/>
      <c r="F138" s="22"/>
      <c r="G138" s="22"/>
      <c r="H138" s="22"/>
      <c r="I138" s="22"/>
      <c r="J138" s="22"/>
      <c r="K138" s="22"/>
      <c r="L138" s="22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2.75" customHeight="1">
      <c r="A139" s="19"/>
      <c r="B139" s="19"/>
      <c r="C139" s="21"/>
      <c r="D139" s="21"/>
      <c r="E139" s="22"/>
      <c r="F139" s="22"/>
      <c r="G139" s="22"/>
      <c r="H139" s="22"/>
      <c r="I139" s="22"/>
      <c r="J139" s="22"/>
      <c r="K139" s="22"/>
      <c r="L139" s="22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2.75" customHeight="1">
      <c r="A140" s="19"/>
      <c r="B140" s="19"/>
      <c r="C140" s="21"/>
      <c r="D140" s="21"/>
      <c r="E140" s="22"/>
      <c r="F140" s="22"/>
      <c r="G140" s="22"/>
      <c r="H140" s="22"/>
      <c r="I140" s="22"/>
      <c r="J140" s="22"/>
      <c r="K140" s="22"/>
      <c r="L140" s="22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2.75" customHeight="1">
      <c r="A141" s="19"/>
      <c r="B141" s="19"/>
      <c r="C141" s="21"/>
      <c r="D141" s="21"/>
      <c r="E141" s="22"/>
      <c r="F141" s="22"/>
      <c r="G141" s="22"/>
      <c r="H141" s="22"/>
      <c r="I141" s="22"/>
      <c r="J141" s="22"/>
      <c r="K141" s="22"/>
      <c r="L141" s="22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2.75" customHeight="1">
      <c r="A142" s="19"/>
      <c r="B142" s="19"/>
      <c r="C142" s="21"/>
      <c r="D142" s="21"/>
      <c r="E142" s="22"/>
      <c r="F142" s="22"/>
      <c r="G142" s="22"/>
      <c r="H142" s="22"/>
      <c r="I142" s="22"/>
      <c r="J142" s="22"/>
      <c r="K142" s="22"/>
      <c r="L142" s="22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2.75" customHeight="1">
      <c r="A143" s="19"/>
      <c r="B143" s="19"/>
      <c r="C143" s="21"/>
      <c r="D143" s="21"/>
      <c r="E143" s="22"/>
      <c r="F143" s="22"/>
      <c r="G143" s="22"/>
      <c r="H143" s="22"/>
      <c r="I143" s="22"/>
      <c r="J143" s="22"/>
      <c r="K143" s="22"/>
      <c r="L143" s="22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2.75" customHeight="1">
      <c r="A144" s="19"/>
      <c r="B144" s="19"/>
      <c r="C144" s="21"/>
      <c r="D144" s="21"/>
      <c r="E144" s="22"/>
      <c r="F144" s="22"/>
      <c r="G144" s="22"/>
      <c r="H144" s="22"/>
      <c r="I144" s="22"/>
      <c r="J144" s="22"/>
      <c r="K144" s="22"/>
      <c r="L144" s="22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2.75" customHeight="1">
      <c r="A145" s="19"/>
      <c r="B145" s="19"/>
      <c r="C145" s="21"/>
      <c r="D145" s="21"/>
      <c r="E145" s="22"/>
      <c r="F145" s="22"/>
      <c r="G145" s="22"/>
      <c r="H145" s="22"/>
      <c r="I145" s="22"/>
      <c r="J145" s="22"/>
      <c r="K145" s="22"/>
      <c r="L145" s="22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2.75" customHeight="1">
      <c r="A146" s="19"/>
      <c r="B146" s="19"/>
      <c r="C146" s="21"/>
      <c r="D146" s="21"/>
      <c r="E146" s="22"/>
      <c r="F146" s="22"/>
      <c r="G146" s="22"/>
      <c r="H146" s="22"/>
      <c r="I146" s="22"/>
      <c r="J146" s="22"/>
      <c r="K146" s="22"/>
      <c r="L146" s="22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2.75" customHeight="1">
      <c r="A147" s="19"/>
      <c r="B147" s="19"/>
      <c r="C147" s="21"/>
      <c r="D147" s="21"/>
      <c r="E147" s="22"/>
      <c r="F147" s="22"/>
      <c r="G147" s="22"/>
      <c r="H147" s="22"/>
      <c r="I147" s="22"/>
      <c r="J147" s="22"/>
      <c r="K147" s="22"/>
      <c r="L147" s="22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2.75" customHeight="1">
      <c r="A148" s="19"/>
      <c r="B148" s="19"/>
      <c r="C148" s="21"/>
      <c r="D148" s="21"/>
      <c r="E148" s="22"/>
      <c r="F148" s="22"/>
      <c r="G148" s="22"/>
      <c r="H148" s="22"/>
      <c r="I148" s="22"/>
      <c r="J148" s="22"/>
      <c r="K148" s="22"/>
      <c r="L148" s="22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2.75" customHeight="1">
      <c r="A149" s="19"/>
      <c r="B149" s="19"/>
      <c r="C149" s="21"/>
      <c r="D149" s="21"/>
      <c r="E149" s="22"/>
      <c r="F149" s="22"/>
      <c r="G149" s="22"/>
      <c r="H149" s="22"/>
      <c r="I149" s="22"/>
      <c r="J149" s="22"/>
      <c r="K149" s="22"/>
      <c r="L149" s="22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2.75" customHeight="1">
      <c r="A150" s="19"/>
      <c r="B150" s="19"/>
      <c r="C150" s="21"/>
      <c r="D150" s="21"/>
      <c r="E150" s="22"/>
      <c r="F150" s="22"/>
      <c r="G150" s="22"/>
      <c r="H150" s="22"/>
      <c r="I150" s="22"/>
      <c r="J150" s="22"/>
      <c r="K150" s="22"/>
      <c r="L150" s="22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2.75" customHeight="1">
      <c r="A151" s="19"/>
      <c r="B151" s="19"/>
      <c r="C151" s="21"/>
      <c r="D151" s="21"/>
      <c r="E151" s="22"/>
      <c r="F151" s="22"/>
      <c r="G151" s="22"/>
      <c r="H151" s="22"/>
      <c r="I151" s="22"/>
      <c r="J151" s="22"/>
      <c r="K151" s="22"/>
      <c r="L151" s="22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2.75" customHeight="1">
      <c r="A152" s="19"/>
      <c r="B152" s="19"/>
      <c r="C152" s="21"/>
      <c r="D152" s="21"/>
      <c r="E152" s="22"/>
      <c r="F152" s="22"/>
      <c r="G152" s="22"/>
      <c r="H152" s="22"/>
      <c r="I152" s="22"/>
      <c r="J152" s="22"/>
      <c r="K152" s="22"/>
      <c r="L152" s="22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2.75" customHeight="1">
      <c r="A153" s="19"/>
      <c r="B153" s="19"/>
      <c r="C153" s="21"/>
      <c r="D153" s="21"/>
      <c r="E153" s="22"/>
      <c r="F153" s="22"/>
      <c r="G153" s="22"/>
      <c r="H153" s="22"/>
      <c r="I153" s="22"/>
      <c r="J153" s="22"/>
      <c r="K153" s="22"/>
      <c r="L153" s="22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2.75" customHeight="1">
      <c r="A154" s="19"/>
      <c r="B154" s="19"/>
      <c r="C154" s="21"/>
      <c r="D154" s="21"/>
      <c r="E154" s="22"/>
      <c r="F154" s="22"/>
      <c r="G154" s="22"/>
      <c r="H154" s="22"/>
      <c r="I154" s="22"/>
      <c r="J154" s="22"/>
      <c r="K154" s="22"/>
      <c r="L154" s="22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2.75" customHeight="1">
      <c r="A155" s="19"/>
      <c r="B155" s="19"/>
      <c r="C155" s="21"/>
      <c r="D155" s="21"/>
      <c r="E155" s="22"/>
      <c r="F155" s="22"/>
      <c r="G155" s="22"/>
      <c r="H155" s="22"/>
      <c r="I155" s="22"/>
      <c r="J155" s="22"/>
      <c r="K155" s="22"/>
      <c r="L155" s="22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2.75" customHeight="1">
      <c r="A156" s="19"/>
      <c r="B156" s="19"/>
      <c r="C156" s="21"/>
      <c r="D156" s="21"/>
      <c r="E156" s="22"/>
      <c r="F156" s="22"/>
      <c r="G156" s="22"/>
      <c r="H156" s="22"/>
      <c r="I156" s="22"/>
      <c r="J156" s="22"/>
      <c r="K156" s="22"/>
      <c r="L156" s="22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2.75" customHeight="1">
      <c r="A157" s="19"/>
      <c r="B157" s="19"/>
      <c r="C157" s="21"/>
      <c r="D157" s="21"/>
      <c r="E157" s="22"/>
      <c r="F157" s="22"/>
      <c r="G157" s="22"/>
      <c r="H157" s="22"/>
      <c r="I157" s="22"/>
      <c r="J157" s="22"/>
      <c r="K157" s="22"/>
      <c r="L157" s="22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2.75" customHeight="1">
      <c r="A158" s="19"/>
      <c r="B158" s="19"/>
      <c r="C158" s="21"/>
      <c r="D158" s="21"/>
      <c r="E158" s="22"/>
      <c r="F158" s="22"/>
      <c r="G158" s="22"/>
      <c r="H158" s="22"/>
      <c r="I158" s="22"/>
      <c r="J158" s="22"/>
      <c r="K158" s="22"/>
      <c r="L158" s="22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2.75" customHeight="1">
      <c r="A159" s="19"/>
      <c r="B159" s="19"/>
      <c r="C159" s="21"/>
      <c r="D159" s="21"/>
      <c r="E159" s="22"/>
      <c r="F159" s="22"/>
      <c r="G159" s="22"/>
      <c r="H159" s="22"/>
      <c r="I159" s="22"/>
      <c r="J159" s="22"/>
      <c r="K159" s="22"/>
      <c r="L159" s="22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2.75" customHeight="1">
      <c r="A160" s="19"/>
      <c r="B160" s="19"/>
      <c r="C160" s="21"/>
      <c r="D160" s="21"/>
      <c r="E160" s="22"/>
      <c r="F160" s="22"/>
      <c r="G160" s="22"/>
      <c r="H160" s="22"/>
      <c r="I160" s="22"/>
      <c r="J160" s="22"/>
      <c r="K160" s="22"/>
      <c r="L160" s="22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2.75" customHeight="1">
      <c r="A161" s="19"/>
      <c r="B161" s="19"/>
      <c r="C161" s="21"/>
      <c r="D161" s="21"/>
      <c r="E161" s="22"/>
      <c r="F161" s="22"/>
      <c r="G161" s="22"/>
      <c r="H161" s="22"/>
      <c r="I161" s="22"/>
      <c r="J161" s="22"/>
      <c r="K161" s="22"/>
      <c r="L161" s="22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2.75" customHeight="1">
      <c r="A162" s="19"/>
      <c r="B162" s="19"/>
      <c r="C162" s="21"/>
      <c r="D162" s="21"/>
      <c r="E162" s="22"/>
      <c r="F162" s="22"/>
      <c r="G162" s="22"/>
      <c r="H162" s="22"/>
      <c r="I162" s="22"/>
      <c r="J162" s="22"/>
      <c r="K162" s="22"/>
      <c r="L162" s="22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2.75" customHeight="1">
      <c r="A163" s="19"/>
      <c r="B163" s="19"/>
      <c r="C163" s="21"/>
      <c r="D163" s="21"/>
      <c r="E163" s="22"/>
      <c r="F163" s="22"/>
      <c r="G163" s="22"/>
      <c r="H163" s="22"/>
      <c r="I163" s="22"/>
      <c r="J163" s="22"/>
      <c r="K163" s="22"/>
      <c r="L163" s="22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2.75" customHeight="1">
      <c r="A164" s="19"/>
      <c r="B164" s="19"/>
      <c r="C164" s="21"/>
      <c r="D164" s="21"/>
      <c r="E164" s="22"/>
      <c r="F164" s="22"/>
      <c r="G164" s="22"/>
      <c r="H164" s="22"/>
      <c r="I164" s="22"/>
      <c r="J164" s="22"/>
      <c r="K164" s="22"/>
      <c r="L164" s="22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2.75" customHeight="1">
      <c r="A165" s="19"/>
      <c r="B165" s="19"/>
      <c r="C165" s="21"/>
      <c r="D165" s="21"/>
      <c r="E165" s="22"/>
      <c r="F165" s="22"/>
      <c r="G165" s="22"/>
      <c r="H165" s="22"/>
      <c r="I165" s="22"/>
      <c r="J165" s="22"/>
      <c r="K165" s="22"/>
      <c r="L165" s="22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2.75" customHeight="1">
      <c r="A166" s="19"/>
      <c r="B166" s="19"/>
      <c r="C166" s="21"/>
      <c r="D166" s="21"/>
      <c r="E166" s="22"/>
      <c r="F166" s="22"/>
      <c r="G166" s="22"/>
      <c r="H166" s="22"/>
      <c r="I166" s="22"/>
      <c r="J166" s="22"/>
      <c r="K166" s="22"/>
      <c r="L166" s="22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2.75" customHeight="1">
      <c r="A167" s="19"/>
      <c r="B167" s="19"/>
      <c r="C167" s="21"/>
      <c r="D167" s="21"/>
      <c r="E167" s="22"/>
      <c r="F167" s="22"/>
      <c r="G167" s="22"/>
      <c r="H167" s="22"/>
      <c r="I167" s="22"/>
      <c r="J167" s="22"/>
      <c r="K167" s="22"/>
      <c r="L167" s="22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2.75" customHeight="1">
      <c r="A168" s="19"/>
      <c r="B168" s="19"/>
      <c r="C168" s="21"/>
      <c r="D168" s="21"/>
      <c r="E168" s="22"/>
      <c r="F168" s="22"/>
      <c r="G168" s="22"/>
      <c r="H168" s="22"/>
      <c r="I168" s="22"/>
      <c r="J168" s="22"/>
      <c r="K168" s="22"/>
      <c r="L168" s="22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2.75" customHeight="1">
      <c r="A169" s="19"/>
      <c r="B169" s="19"/>
      <c r="C169" s="21"/>
      <c r="D169" s="21"/>
      <c r="E169" s="22"/>
      <c r="F169" s="22"/>
      <c r="G169" s="22"/>
      <c r="H169" s="22"/>
      <c r="I169" s="22"/>
      <c r="J169" s="22"/>
      <c r="K169" s="22"/>
      <c r="L169" s="22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2.75" customHeight="1">
      <c r="A170" s="19"/>
      <c r="B170" s="19"/>
      <c r="C170" s="21"/>
      <c r="D170" s="21"/>
      <c r="E170" s="22"/>
      <c r="F170" s="22"/>
      <c r="G170" s="22"/>
      <c r="H170" s="22"/>
      <c r="I170" s="22"/>
      <c r="J170" s="22"/>
      <c r="K170" s="22"/>
      <c r="L170" s="22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2.75" customHeight="1">
      <c r="A171" s="19"/>
      <c r="B171" s="19"/>
      <c r="C171" s="21"/>
      <c r="D171" s="21"/>
      <c r="E171" s="22"/>
      <c r="F171" s="22"/>
      <c r="G171" s="22"/>
      <c r="H171" s="22"/>
      <c r="I171" s="22"/>
      <c r="J171" s="22"/>
      <c r="K171" s="22"/>
      <c r="L171" s="22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2.75" customHeight="1">
      <c r="A172" s="19"/>
      <c r="B172" s="19"/>
      <c r="C172" s="21"/>
      <c r="D172" s="21"/>
      <c r="E172" s="22"/>
      <c r="F172" s="22"/>
      <c r="G172" s="22"/>
      <c r="H172" s="22"/>
      <c r="I172" s="22"/>
      <c r="J172" s="22"/>
      <c r="K172" s="22"/>
      <c r="L172" s="22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2.75" customHeight="1">
      <c r="A173" s="19"/>
      <c r="B173" s="19"/>
      <c r="C173" s="21"/>
      <c r="D173" s="21"/>
      <c r="E173" s="22"/>
      <c r="F173" s="22"/>
      <c r="G173" s="22"/>
      <c r="H173" s="22"/>
      <c r="I173" s="22"/>
      <c r="J173" s="22"/>
      <c r="K173" s="22"/>
      <c r="L173" s="22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2.75" customHeight="1">
      <c r="A174" s="19"/>
      <c r="B174" s="19"/>
      <c r="C174" s="21"/>
      <c r="D174" s="21"/>
      <c r="E174" s="22"/>
      <c r="F174" s="22"/>
      <c r="G174" s="22"/>
      <c r="H174" s="22"/>
      <c r="I174" s="22"/>
      <c r="J174" s="22"/>
      <c r="K174" s="22"/>
      <c r="L174" s="22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2.75" customHeight="1">
      <c r="A175" s="19"/>
      <c r="B175" s="19"/>
      <c r="C175" s="21"/>
      <c r="D175" s="21"/>
      <c r="E175" s="22"/>
      <c r="F175" s="22"/>
      <c r="G175" s="22"/>
      <c r="H175" s="22"/>
      <c r="I175" s="22"/>
      <c r="J175" s="22"/>
      <c r="K175" s="22"/>
      <c r="L175" s="22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2.75" customHeight="1">
      <c r="A176" s="19"/>
      <c r="B176" s="19"/>
      <c r="C176" s="21"/>
      <c r="D176" s="21"/>
      <c r="E176" s="22"/>
      <c r="F176" s="22"/>
      <c r="G176" s="22"/>
      <c r="H176" s="22"/>
      <c r="I176" s="22"/>
      <c r="J176" s="22"/>
      <c r="K176" s="22"/>
      <c r="L176" s="22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2.75" customHeight="1">
      <c r="A177" s="19"/>
      <c r="B177" s="19"/>
      <c r="C177" s="21"/>
      <c r="D177" s="21"/>
      <c r="E177" s="22"/>
      <c r="F177" s="22"/>
      <c r="G177" s="22"/>
      <c r="H177" s="22"/>
      <c r="I177" s="22"/>
      <c r="J177" s="22"/>
      <c r="K177" s="22"/>
      <c r="L177" s="22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2.75" customHeight="1">
      <c r="A178" s="19"/>
      <c r="B178" s="19"/>
      <c r="C178" s="21"/>
      <c r="D178" s="21"/>
      <c r="E178" s="22"/>
      <c r="F178" s="22"/>
      <c r="G178" s="22"/>
      <c r="H178" s="22"/>
      <c r="I178" s="22"/>
      <c r="J178" s="22"/>
      <c r="K178" s="22"/>
      <c r="L178" s="22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2.75" customHeight="1">
      <c r="A179" s="19"/>
      <c r="B179" s="19"/>
      <c r="C179" s="21"/>
      <c r="D179" s="21"/>
      <c r="E179" s="22"/>
      <c r="F179" s="22"/>
      <c r="G179" s="22"/>
      <c r="H179" s="22"/>
      <c r="I179" s="22"/>
      <c r="J179" s="22"/>
      <c r="K179" s="22"/>
      <c r="L179" s="22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2.75" customHeight="1">
      <c r="A180" s="19"/>
      <c r="B180" s="19"/>
      <c r="C180" s="21"/>
      <c r="D180" s="21"/>
      <c r="E180" s="22"/>
      <c r="F180" s="22"/>
      <c r="G180" s="22"/>
      <c r="H180" s="22"/>
      <c r="I180" s="22"/>
      <c r="J180" s="22"/>
      <c r="K180" s="22"/>
      <c r="L180" s="22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2.75" customHeight="1">
      <c r="A181" s="19"/>
      <c r="B181" s="19"/>
      <c r="C181" s="21"/>
      <c r="D181" s="21"/>
      <c r="E181" s="22"/>
      <c r="F181" s="22"/>
      <c r="G181" s="22"/>
      <c r="H181" s="22"/>
      <c r="I181" s="22"/>
      <c r="J181" s="22"/>
      <c r="K181" s="22"/>
      <c r="L181" s="22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2.75" customHeight="1">
      <c r="A182" s="19"/>
      <c r="B182" s="19"/>
      <c r="C182" s="21"/>
      <c r="D182" s="21"/>
      <c r="E182" s="22"/>
      <c r="F182" s="22"/>
      <c r="G182" s="22"/>
      <c r="H182" s="22"/>
      <c r="I182" s="22"/>
      <c r="J182" s="22"/>
      <c r="K182" s="22"/>
      <c r="L182" s="22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2.75" customHeight="1">
      <c r="A183" s="19"/>
      <c r="B183" s="19"/>
      <c r="C183" s="21"/>
      <c r="D183" s="21"/>
      <c r="E183" s="22"/>
      <c r="F183" s="22"/>
      <c r="G183" s="22"/>
      <c r="H183" s="22"/>
      <c r="I183" s="22"/>
      <c r="J183" s="22"/>
      <c r="K183" s="22"/>
      <c r="L183" s="22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2.75" customHeight="1">
      <c r="A184" s="19"/>
      <c r="B184" s="19"/>
      <c r="C184" s="21"/>
      <c r="D184" s="21"/>
      <c r="E184" s="22"/>
      <c r="F184" s="22"/>
      <c r="G184" s="22"/>
      <c r="H184" s="22"/>
      <c r="I184" s="22"/>
      <c r="J184" s="22"/>
      <c r="K184" s="22"/>
      <c r="L184" s="22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2.75" customHeight="1">
      <c r="A185" s="19"/>
      <c r="B185" s="19"/>
      <c r="C185" s="21"/>
      <c r="D185" s="21"/>
      <c r="E185" s="22"/>
      <c r="F185" s="22"/>
      <c r="G185" s="22"/>
      <c r="H185" s="22"/>
      <c r="I185" s="22"/>
      <c r="J185" s="22"/>
      <c r="K185" s="22"/>
      <c r="L185" s="22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2.75" customHeight="1">
      <c r="A186" s="19"/>
      <c r="B186" s="19"/>
      <c r="C186" s="21"/>
      <c r="D186" s="21"/>
      <c r="E186" s="22"/>
      <c r="F186" s="22"/>
      <c r="G186" s="22"/>
      <c r="H186" s="22"/>
      <c r="I186" s="22"/>
      <c r="J186" s="22"/>
      <c r="K186" s="22"/>
      <c r="L186" s="22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2.75" customHeight="1">
      <c r="A187" s="19"/>
      <c r="B187" s="19"/>
      <c r="C187" s="21"/>
      <c r="D187" s="21"/>
      <c r="E187" s="22"/>
      <c r="F187" s="22"/>
      <c r="G187" s="22"/>
      <c r="H187" s="22"/>
      <c r="I187" s="22"/>
      <c r="J187" s="22"/>
      <c r="K187" s="22"/>
      <c r="L187" s="22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2.75" customHeight="1">
      <c r="A188" s="19"/>
      <c r="B188" s="19"/>
      <c r="C188" s="21"/>
      <c r="D188" s="21"/>
      <c r="E188" s="22"/>
      <c r="F188" s="22"/>
      <c r="G188" s="22"/>
      <c r="H188" s="22"/>
      <c r="I188" s="22"/>
      <c r="J188" s="22"/>
      <c r="K188" s="22"/>
      <c r="L188" s="22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2.75" customHeight="1">
      <c r="A189" s="19"/>
      <c r="B189" s="19"/>
      <c r="C189" s="21"/>
      <c r="D189" s="21"/>
      <c r="E189" s="22"/>
      <c r="F189" s="22"/>
      <c r="G189" s="22"/>
      <c r="H189" s="22"/>
      <c r="I189" s="22"/>
      <c r="J189" s="22"/>
      <c r="K189" s="22"/>
      <c r="L189" s="22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2.75" customHeight="1">
      <c r="A190" s="19"/>
      <c r="B190" s="19"/>
      <c r="C190" s="21"/>
      <c r="D190" s="21"/>
      <c r="E190" s="22"/>
      <c r="F190" s="22"/>
      <c r="G190" s="22"/>
      <c r="H190" s="22"/>
      <c r="I190" s="22"/>
      <c r="J190" s="22"/>
      <c r="K190" s="22"/>
      <c r="L190" s="22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2.75" customHeight="1">
      <c r="A191" s="19"/>
      <c r="B191" s="19"/>
      <c r="C191" s="21"/>
      <c r="D191" s="21"/>
      <c r="E191" s="22"/>
      <c r="F191" s="22"/>
      <c r="G191" s="22"/>
      <c r="H191" s="22"/>
      <c r="I191" s="22"/>
      <c r="J191" s="22"/>
      <c r="K191" s="22"/>
      <c r="L191" s="22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2.75" customHeight="1">
      <c r="A192" s="19"/>
      <c r="B192" s="19"/>
      <c r="C192" s="21"/>
      <c r="D192" s="21"/>
      <c r="E192" s="22"/>
      <c r="F192" s="22"/>
      <c r="G192" s="22"/>
      <c r="H192" s="22"/>
      <c r="I192" s="22"/>
      <c r="J192" s="22"/>
      <c r="K192" s="22"/>
      <c r="L192" s="22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2.75" customHeight="1">
      <c r="A193" s="19"/>
      <c r="B193" s="19"/>
      <c r="C193" s="21"/>
      <c r="D193" s="21"/>
      <c r="E193" s="22"/>
      <c r="F193" s="22"/>
      <c r="G193" s="22"/>
      <c r="H193" s="22"/>
      <c r="I193" s="22"/>
      <c r="J193" s="22"/>
      <c r="K193" s="22"/>
      <c r="L193" s="22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2.75" customHeight="1">
      <c r="A194" s="19"/>
      <c r="B194" s="19"/>
      <c r="C194" s="21"/>
      <c r="D194" s="21"/>
      <c r="E194" s="22"/>
      <c r="F194" s="22"/>
      <c r="G194" s="22"/>
      <c r="H194" s="22"/>
      <c r="I194" s="22"/>
      <c r="J194" s="22"/>
      <c r="K194" s="22"/>
      <c r="L194" s="22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2.75" customHeight="1">
      <c r="A195" s="19"/>
      <c r="B195" s="19"/>
      <c r="C195" s="21"/>
      <c r="D195" s="21"/>
      <c r="E195" s="22"/>
      <c r="F195" s="22"/>
      <c r="G195" s="22"/>
      <c r="H195" s="22"/>
      <c r="I195" s="22"/>
      <c r="J195" s="22"/>
      <c r="K195" s="22"/>
      <c r="L195" s="22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2.75" customHeight="1">
      <c r="A196" s="19"/>
      <c r="B196" s="19"/>
      <c r="C196" s="21"/>
      <c r="D196" s="21"/>
      <c r="E196" s="22"/>
      <c r="F196" s="22"/>
      <c r="G196" s="22"/>
      <c r="H196" s="22"/>
      <c r="I196" s="22"/>
      <c r="J196" s="22"/>
      <c r="K196" s="22"/>
      <c r="L196" s="22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2.75" customHeight="1">
      <c r="A197" s="19"/>
      <c r="B197" s="19"/>
      <c r="C197" s="21"/>
      <c r="D197" s="21"/>
      <c r="E197" s="22"/>
      <c r="F197" s="22"/>
      <c r="G197" s="22"/>
      <c r="H197" s="22"/>
      <c r="I197" s="22"/>
      <c r="J197" s="22"/>
      <c r="K197" s="22"/>
      <c r="L197" s="22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2.75" customHeight="1">
      <c r="A198" s="19"/>
      <c r="B198" s="19"/>
      <c r="C198" s="21"/>
      <c r="D198" s="21"/>
      <c r="E198" s="22"/>
      <c r="F198" s="22"/>
      <c r="G198" s="22"/>
      <c r="H198" s="22"/>
      <c r="I198" s="22"/>
      <c r="J198" s="22"/>
      <c r="K198" s="22"/>
      <c r="L198" s="22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2.75" customHeight="1">
      <c r="A199" s="19"/>
      <c r="B199" s="19"/>
      <c r="C199" s="21"/>
      <c r="D199" s="21"/>
      <c r="E199" s="22"/>
      <c r="F199" s="22"/>
      <c r="G199" s="22"/>
      <c r="H199" s="22"/>
      <c r="I199" s="22"/>
      <c r="J199" s="22"/>
      <c r="K199" s="22"/>
      <c r="L199" s="22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2.75" customHeight="1">
      <c r="A200" s="19"/>
      <c r="B200" s="19"/>
      <c r="C200" s="21"/>
      <c r="D200" s="21"/>
      <c r="E200" s="22"/>
      <c r="F200" s="22"/>
      <c r="G200" s="22"/>
      <c r="H200" s="22"/>
      <c r="I200" s="22"/>
      <c r="J200" s="22"/>
      <c r="K200" s="22"/>
      <c r="L200" s="22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2.75" customHeight="1">
      <c r="A201" s="19"/>
      <c r="B201" s="19"/>
      <c r="C201" s="21"/>
      <c r="D201" s="21"/>
      <c r="E201" s="22"/>
      <c r="F201" s="22"/>
      <c r="G201" s="22"/>
      <c r="H201" s="22"/>
      <c r="I201" s="22"/>
      <c r="J201" s="22"/>
      <c r="K201" s="22"/>
      <c r="L201" s="22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2.75" customHeight="1">
      <c r="A202" s="19"/>
      <c r="B202" s="19"/>
      <c r="C202" s="21"/>
      <c r="D202" s="21"/>
      <c r="E202" s="22"/>
      <c r="F202" s="22"/>
      <c r="G202" s="22"/>
      <c r="H202" s="22"/>
      <c r="I202" s="22"/>
      <c r="J202" s="22"/>
      <c r="K202" s="22"/>
      <c r="L202" s="22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2.75" customHeight="1">
      <c r="A203" s="19"/>
      <c r="B203" s="19"/>
      <c r="C203" s="21"/>
      <c r="D203" s="21"/>
      <c r="E203" s="22"/>
      <c r="F203" s="22"/>
      <c r="G203" s="22"/>
      <c r="H203" s="22"/>
      <c r="I203" s="22"/>
      <c r="J203" s="22"/>
      <c r="K203" s="22"/>
      <c r="L203" s="22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2.75" customHeight="1">
      <c r="A204" s="19"/>
      <c r="B204" s="19"/>
      <c r="C204" s="21"/>
      <c r="D204" s="21"/>
      <c r="E204" s="22"/>
      <c r="F204" s="22"/>
      <c r="G204" s="22"/>
      <c r="H204" s="22"/>
      <c r="I204" s="22"/>
      <c r="J204" s="22"/>
      <c r="K204" s="22"/>
      <c r="L204" s="22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2.75" customHeight="1">
      <c r="A205" s="19"/>
      <c r="B205" s="19"/>
      <c r="C205" s="21"/>
      <c r="D205" s="21"/>
      <c r="E205" s="22"/>
      <c r="F205" s="22"/>
      <c r="G205" s="22"/>
      <c r="H205" s="22"/>
      <c r="I205" s="22"/>
      <c r="J205" s="22"/>
      <c r="K205" s="22"/>
      <c r="L205" s="22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2.75" customHeight="1">
      <c r="A206" s="19"/>
      <c r="B206" s="19"/>
      <c r="C206" s="21"/>
      <c r="D206" s="21"/>
      <c r="E206" s="22"/>
      <c r="F206" s="22"/>
      <c r="G206" s="22"/>
      <c r="H206" s="22"/>
      <c r="I206" s="22"/>
      <c r="J206" s="22"/>
      <c r="K206" s="22"/>
      <c r="L206" s="22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2.75" customHeight="1">
      <c r="A207" s="19"/>
      <c r="B207" s="19"/>
      <c r="C207" s="21"/>
      <c r="D207" s="21"/>
      <c r="E207" s="22"/>
      <c r="F207" s="22"/>
      <c r="G207" s="22"/>
      <c r="H207" s="22"/>
      <c r="I207" s="22"/>
      <c r="J207" s="22"/>
      <c r="K207" s="22"/>
      <c r="L207" s="22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2.75" customHeight="1">
      <c r="A208" s="19"/>
      <c r="B208" s="19"/>
      <c r="C208" s="21"/>
      <c r="D208" s="21"/>
      <c r="E208" s="22"/>
      <c r="F208" s="22"/>
      <c r="G208" s="22"/>
      <c r="H208" s="22"/>
      <c r="I208" s="22"/>
      <c r="J208" s="22"/>
      <c r="K208" s="22"/>
      <c r="L208" s="22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2.75" customHeight="1">
      <c r="A209" s="19"/>
      <c r="B209" s="19"/>
      <c r="C209" s="21"/>
      <c r="D209" s="21"/>
      <c r="E209" s="22"/>
      <c r="F209" s="22"/>
      <c r="G209" s="22"/>
      <c r="H209" s="22"/>
      <c r="I209" s="22"/>
      <c r="J209" s="22"/>
      <c r="K209" s="22"/>
      <c r="L209" s="22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2.75" customHeight="1">
      <c r="A210" s="19"/>
      <c r="B210" s="19"/>
      <c r="C210" s="21"/>
      <c r="D210" s="21"/>
      <c r="E210" s="22"/>
      <c r="F210" s="22"/>
      <c r="G210" s="22"/>
      <c r="H210" s="22"/>
      <c r="I210" s="22"/>
      <c r="J210" s="22"/>
      <c r="K210" s="22"/>
      <c r="L210" s="22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2.75" customHeight="1">
      <c r="A211" s="19"/>
      <c r="B211" s="19"/>
      <c r="C211" s="21"/>
      <c r="D211" s="21"/>
      <c r="E211" s="22"/>
      <c r="F211" s="22"/>
      <c r="G211" s="22"/>
      <c r="H211" s="22"/>
      <c r="I211" s="22"/>
      <c r="J211" s="22"/>
      <c r="K211" s="22"/>
      <c r="L211" s="22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2.75" customHeight="1">
      <c r="A212" s="19"/>
      <c r="B212" s="19"/>
      <c r="C212" s="21"/>
      <c r="D212" s="21"/>
      <c r="E212" s="22"/>
      <c r="F212" s="22"/>
      <c r="G212" s="22"/>
      <c r="H212" s="22"/>
      <c r="I212" s="22"/>
      <c r="J212" s="22"/>
      <c r="K212" s="22"/>
      <c r="L212" s="22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2.75" customHeight="1">
      <c r="A213" s="19"/>
      <c r="B213" s="19"/>
      <c r="C213" s="21"/>
      <c r="D213" s="21"/>
      <c r="E213" s="22"/>
      <c r="F213" s="22"/>
      <c r="G213" s="22"/>
      <c r="H213" s="22"/>
      <c r="I213" s="22"/>
      <c r="J213" s="22"/>
      <c r="K213" s="22"/>
      <c r="L213" s="22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2.75" customHeight="1">
      <c r="A214" s="19"/>
      <c r="B214" s="19"/>
      <c r="C214" s="21"/>
      <c r="D214" s="21"/>
      <c r="E214" s="22"/>
      <c r="F214" s="22"/>
      <c r="G214" s="22"/>
      <c r="H214" s="22"/>
      <c r="I214" s="22"/>
      <c r="J214" s="22"/>
      <c r="K214" s="22"/>
      <c r="L214" s="22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2.75" customHeight="1">
      <c r="A215" s="19"/>
      <c r="B215" s="19"/>
      <c r="C215" s="21"/>
      <c r="D215" s="21"/>
      <c r="E215" s="22"/>
      <c r="F215" s="22"/>
      <c r="G215" s="22"/>
      <c r="H215" s="22"/>
      <c r="I215" s="22"/>
      <c r="J215" s="22"/>
      <c r="K215" s="22"/>
      <c r="L215" s="22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2.75" customHeight="1">
      <c r="A216" s="19"/>
      <c r="B216" s="19"/>
      <c r="C216" s="21"/>
      <c r="D216" s="21"/>
      <c r="E216" s="22"/>
      <c r="F216" s="22"/>
      <c r="G216" s="22"/>
      <c r="H216" s="22"/>
      <c r="I216" s="22"/>
      <c r="J216" s="22"/>
      <c r="K216" s="22"/>
      <c r="L216" s="22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2.75" customHeight="1">
      <c r="A217" s="19"/>
      <c r="B217" s="19"/>
      <c r="C217" s="21"/>
      <c r="D217" s="21"/>
      <c r="E217" s="22"/>
      <c r="F217" s="22"/>
      <c r="G217" s="22"/>
      <c r="H217" s="22"/>
      <c r="I217" s="22"/>
      <c r="J217" s="22"/>
      <c r="K217" s="22"/>
      <c r="L217" s="22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2.75" customHeight="1">
      <c r="A218" s="19"/>
      <c r="B218" s="19"/>
      <c r="C218" s="21"/>
      <c r="D218" s="21"/>
      <c r="E218" s="22"/>
      <c r="F218" s="22"/>
      <c r="G218" s="22"/>
      <c r="H218" s="22"/>
      <c r="I218" s="22"/>
      <c r="J218" s="22"/>
      <c r="K218" s="22"/>
      <c r="L218" s="22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2.75" customHeight="1">
      <c r="A219" s="19"/>
      <c r="B219" s="19"/>
      <c r="C219" s="21"/>
      <c r="D219" s="21"/>
      <c r="E219" s="22"/>
      <c r="F219" s="22"/>
      <c r="G219" s="22"/>
      <c r="H219" s="22"/>
      <c r="I219" s="22"/>
      <c r="J219" s="22"/>
      <c r="K219" s="22"/>
      <c r="L219" s="22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2.75" customHeight="1">
      <c r="A220" s="19"/>
      <c r="B220" s="19"/>
      <c r="C220" s="21"/>
      <c r="D220" s="21"/>
      <c r="E220" s="22"/>
      <c r="F220" s="22"/>
      <c r="G220" s="22"/>
      <c r="H220" s="22"/>
      <c r="I220" s="22"/>
      <c r="J220" s="22"/>
      <c r="K220" s="22"/>
      <c r="L220" s="22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2.75" customHeight="1">
      <c r="A221" s="19"/>
      <c r="B221" s="19"/>
      <c r="C221" s="21"/>
      <c r="D221" s="21"/>
      <c r="E221" s="22"/>
      <c r="F221" s="22"/>
      <c r="G221" s="22"/>
      <c r="H221" s="22"/>
      <c r="I221" s="22"/>
      <c r="J221" s="22"/>
      <c r="K221" s="22"/>
      <c r="L221" s="22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2.75" customHeight="1">
      <c r="A222" s="19"/>
      <c r="B222" s="19"/>
      <c r="C222" s="21"/>
      <c r="D222" s="21"/>
      <c r="E222" s="22"/>
      <c r="F222" s="22"/>
      <c r="G222" s="22"/>
      <c r="H222" s="22"/>
      <c r="I222" s="22"/>
      <c r="J222" s="22"/>
      <c r="K222" s="22"/>
      <c r="L222" s="22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2.75" customHeight="1">
      <c r="A223" s="19"/>
      <c r="B223" s="19"/>
      <c r="C223" s="21"/>
      <c r="D223" s="21"/>
      <c r="E223" s="22"/>
      <c r="F223" s="22"/>
      <c r="G223" s="22"/>
      <c r="H223" s="22"/>
      <c r="I223" s="22"/>
      <c r="J223" s="22"/>
      <c r="K223" s="22"/>
      <c r="L223" s="22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2.75" customHeight="1">
      <c r="A224" s="19"/>
      <c r="B224" s="19"/>
      <c r="C224" s="21"/>
      <c r="D224" s="21"/>
      <c r="E224" s="22"/>
      <c r="F224" s="22"/>
      <c r="G224" s="22"/>
      <c r="H224" s="22"/>
      <c r="I224" s="22"/>
      <c r="J224" s="22"/>
      <c r="K224" s="22"/>
      <c r="L224" s="22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2.75" customHeight="1">
      <c r="A225" s="19"/>
      <c r="B225" s="19"/>
      <c r="C225" s="21"/>
      <c r="D225" s="21"/>
      <c r="E225" s="22"/>
      <c r="F225" s="22"/>
      <c r="G225" s="22"/>
      <c r="H225" s="22"/>
      <c r="I225" s="22"/>
      <c r="J225" s="22"/>
      <c r="K225" s="22"/>
      <c r="L225" s="22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2.75" customHeight="1">
      <c r="A226" s="19"/>
      <c r="B226" s="19"/>
      <c r="C226" s="21"/>
      <c r="D226" s="21"/>
      <c r="E226" s="22"/>
      <c r="F226" s="22"/>
      <c r="G226" s="22"/>
      <c r="H226" s="22"/>
      <c r="I226" s="22"/>
      <c r="J226" s="22"/>
      <c r="K226" s="22"/>
      <c r="L226" s="22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2.75" customHeight="1">
      <c r="A227" s="19"/>
      <c r="B227" s="19"/>
      <c r="C227" s="21"/>
      <c r="D227" s="21"/>
      <c r="E227" s="22"/>
      <c r="F227" s="22"/>
      <c r="G227" s="22"/>
      <c r="H227" s="22"/>
      <c r="I227" s="22"/>
      <c r="J227" s="22"/>
      <c r="K227" s="22"/>
      <c r="L227" s="22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2.75" customHeight="1">
      <c r="A228" s="19"/>
      <c r="B228" s="19"/>
      <c r="C228" s="21"/>
      <c r="D228" s="21"/>
      <c r="E228" s="22"/>
      <c r="F228" s="22"/>
      <c r="G228" s="22"/>
      <c r="H228" s="22"/>
      <c r="I228" s="22"/>
      <c r="J228" s="22"/>
      <c r="K228" s="22"/>
      <c r="L228" s="22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2.75" customHeight="1">
      <c r="A229" s="19"/>
      <c r="B229" s="19"/>
      <c r="C229" s="21"/>
      <c r="D229" s="21"/>
      <c r="E229" s="22"/>
      <c r="F229" s="22"/>
      <c r="G229" s="22"/>
      <c r="H229" s="22"/>
      <c r="I229" s="22"/>
      <c r="J229" s="22"/>
      <c r="K229" s="22"/>
      <c r="L229" s="22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2.75" customHeight="1">
      <c r="A230" s="19"/>
      <c r="B230" s="19"/>
      <c r="C230" s="21"/>
      <c r="D230" s="21"/>
      <c r="E230" s="22"/>
      <c r="F230" s="22"/>
      <c r="G230" s="22"/>
      <c r="H230" s="22"/>
      <c r="I230" s="22"/>
      <c r="J230" s="22"/>
      <c r="K230" s="22"/>
      <c r="L230" s="22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2.75" customHeight="1">
      <c r="A231" s="19"/>
      <c r="B231" s="19"/>
      <c r="C231" s="21"/>
      <c r="D231" s="21"/>
      <c r="E231" s="22"/>
      <c r="F231" s="22"/>
      <c r="G231" s="22"/>
      <c r="H231" s="22"/>
      <c r="I231" s="22"/>
      <c r="J231" s="22"/>
      <c r="K231" s="22"/>
      <c r="L231" s="22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2.75" customHeight="1">
      <c r="A232" s="19"/>
      <c r="B232" s="19"/>
      <c r="C232" s="21"/>
      <c r="D232" s="21"/>
      <c r="E232" s="22"/>
      <c r="F232" s="22"/>
      <c r="G232" s="22"/>
      <c r="H232" s="22"/>
      <c r="I232" s="22"/>
      <c r="J232" s="22"/>
      <c r="K232" s="22"/>
      <c r="L232" s="22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2.75" customHeight="1">
      <c r="A233" s="19"/>
      <c r="B233" s="19"/>
      <c r="C233" s="21"/>
      <c r="D233" s="21"/>
      <c r="E233" s="22"/>
      <c r="F233" s="22"/>
      <c r="G233" s="22"/>
      <c r="H233" s="22"/>
      <c r="I233" s="22"/>
      <c r="J233" s="22"/>
      <c r="K233" s="22"/>
      <c r="L233" s="22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autoFilter ref="$A$10:$E$10"/>
  <mergeCells count="5">
    <mergeCell ref="A2:L2"/>
    <mergeCell ref="E4:J4"/>
    <mergeCell ref="F8:L8"/>
    <mergeCell ref="M8:S8"/>
    <mergeCell ref="E26:E27"/>
  </mergeCells>
  <conditionalFormatting sqref="F26:L26">
    <cfRule type="cellIs" dxfId="5" priority="1" stopIfTrue="1" operator="lessThan">
      <formula>F27</formula>
    </cfRule>
  </conditionalFormatting>
  <conditionalFormatting sqref="F26:L26">
    <cfRule type="cellIs" dxfId="6" priority="2" stopIfTrue="1" operator="greaterThan">
      <formula>F27</formula>
    </cfRule>
  </conditionalFormatting>
  <conditionalFormatting sqref="M26:S26">
    <cfRule type="cellIs" dxfId="5" priority="3" stopIfTrue="1" operator="lessThan">
      <formula>M27</formula>
    </cfRule>
  </conditionalFormatting>
  <conditionalFormatting sqref="M26:S26">
    <cfRule type="cellIs" dxfId="6" priority="4" stopIfTrue="1" operator="greaterThan">
      <formula>M27</formula>
    </cfRule>
  </conditionalFormatting>
  <printOptions/>
  <pageMargins bottom="1.0" footer="0.0" header="0.0" left="0.75" right="0.75" top="1.0"/>
  <pageSetup orientation="landscape"/>
  <drawing r:id="rId1"/>
</worksheet>
</file>